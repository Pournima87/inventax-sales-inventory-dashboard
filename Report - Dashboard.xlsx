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https://d.docs.live.net/6639d5add048564c/Desktop/Data Science/Excel/Excel Dashboard Project/"/>
    </mc:Choice>
  </mc:AlternateContent>
  <xr:revisionPtr revIDLastSave="3" documentId="8_{878BDBF8-0EB8-4ACD-94B4-99DFE9442CD0}" xr6:coauthVersionLast="47" xr6:coauthVersionMax="47" xr10:uidLastSave="{1BEA4F19-B69F-438D-BBA0-045F64B0D550}"/>
  <bookViews>
    <workbookView xWindow="-110" yWindow="-110" windowWidth="19420" windowHeight="10300" activeTab="3" xr2:uid="{9748C809-BD1D-4BB6-AF85-DE1FB4EEAD6F}"/>
  </bookViews>
  <sheets>
    <sheet name="Sheet2" sheetId="4" r:id="rId1"/>
    <sheet name="Sales Data" sheetId="2" r:id="rId2"/>
    <sheet name="Inventory Data" sheetId="3" r:id="rId3"/>
    <sheet name="Dashboard" sheetId="8" r:id="rId4"/>
  </sheets>
  <definedNames>
    <definedName name="_xlcn.WorksheetConnection_Book1Inventory_Data" hidden="1">Inventory_Data[]</definedName>
    <definedName name="_xlcn.WorksheetConnection_Book1Sales_Data" hidden="1">Sales_Data[]</definedName>
    <definedName name="ExternalData_1" localSheetId="2" hidden="1">'Inventory Data'!$A$1:$H$17</definedName>
    <definedName name="ExternalData_1" localSheetId="1" hidden="1">'Sales Data'!$A$1:$M$261</definedName>
    <definedName name="Slicer_Product_Category">#N/A</definedName>
    <definedName name="Slicer_Region">#N/A</definedName>
    <definedName name="Slicer_Store">#N/A</definedName>
    <definedName name="Timeline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s>
  <extLst>
    <ext xmlns:x14="http://schemas.microsoft.com/office/spreadsheetml/2009/9/main" uri="{876F7934-8845-4945-9796-88D515C7AA90}">
      <x14:pivotCaches>
        <pivotCache cacheId="18"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264e7eba-c637-4c70-acc7-2cbcacd02fc5" name="Sales Data" connection="Query - Sales Data"/>
          <x15:modelTable id="Inventory Data_6cd8f525-90ec-4cc5-b04c-01884f67d6a8" name="Inventory Data" connection="Query - Inventory Data"/>
          <x15:modelTable id="Sales_Data" name="Sales_Data" connection="WorksheetConnection_Book1!Sales_Data"/>
          <x15:modelTable id="Inventory_Data" name="Inventory_Data" connection="WorksheetConnection_Book1!Inventory_Data"/>
        </x15:modelTables>
        <x15:modelRelationships>
          <x15:modelRelationship fromTable="Sales Data" fromColumn="Product Name" toTable="Inventory Data" toColumn="Product Name"/>
        </x15:modelRelationships>
        <x15:extLst>
          <ext xmlns:x16="http://schemas.microsoft.com/office/spreadsheetml/2014/11/main" uri="{9835A34E-60A6-4A7C-AAB8-D5F71C897F49}">
            <x16:modelTimeGroupings>
              <x16:modelTimeGrouping tableName="Sales 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R18" i="8" l="1"/>
  <c r="R15" i="8"/>
  <c r="R12" i="8"/>
  <c r="R9" i="8"/>
  <c r="R5" i="8"/>
  <c r="D6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DC97D6-1585-478F-8D09-552743005923}" keepAlive="1" name="ModelConnection_ExternalData_1" description="Data Model" type="5" refreshedVersion="7" minRefreshableVersion="5" saveData="1">
    <dbPr connection="Data Model Connection" command="Sales Data" commandType="3"/>
    <extLst>
      <ext xmlns:x15="http://schemas.microsoft.com/office/spreadsheetml/2010/11/main" uri="{DE250136-89BD-433C-8126-D09CA5730AF9}">
        <x15:connection id="" model="1"/>
      </ext>
    </extLst>
  </connection>
  <connection id="2" xr16:uid="{7A8131ED-3875-423E-9990-8325345F639B}" keepAlive="1" name="ModelConnection_ExternalData_11" description="Data Model" type="5" refreshedVersion="7" minRefreshableVersion="5" saveData="1">
    <dbPr connection="Data Model Connection" command="Inventory Data" commandType="3"/>
    <extLst>
      <ext xmlns:x15="http://schemas.microsoft.com/office/spreadsheetml/2010/11/main" uri="{DE250136-89BD-433C-8126-D09CA5730AF9}">
        <x15:connection id="" model="1"/>
      </ext>
    </extLst>
  </connection>
  <connection id="3" xr16:uid="{2679A56A-C4C4-4186-997C-7511E676437A}" name="Query - Inventory Data" description="Connection to the 'Inventory Data' query in the workbook." type="100" refreshedVersion="7" minRefreshableVersion="5">
    <extLst>
      <ext xmlns:x15="http://schemas.microsoft.com/office/spreadsheetml/2010/11/main" uri="{DE250136-89BD-433C-8126-D09CA5730AF9}">
        <x15:connection id="69b177da-32cb-4f80-b137-fa3b593d2efc"/>
      </ext>
    </extLst>
  </connection>
  <connection id="4" xr16:uid="{5850CF9C-FB88-49DB-9D5C-1B511D5EB5B5}" name="Query - Sales Data" description="Connection to the 'Sales Data' query in the workbook." type="100" refreshedVersion="7" minRefreshableVersion="5">
    <extLst>
      <ext xmlns:x15="http://schemas.microsoft.com/office/spreadsheetml/2010/11/main" uri="{DE250136-89BD-433C-8126-D09CA5730AF9}">
        <x15:connection id="6786b4e4-5384-42fe-a4c5-9a49de2fb637">
          <x15:oledbPr connection="Provider=Microsoft.Mashup.OleDb.1;Data Source=$Workbook$;Location=&quot;Sales Data&quot;;Extended Properties=&quot;&quot;">
            <x15:dbTables>
              <x15:dbTable name="Sales Data"/>
            </x15:dbTables>
          </x15:oledbPr>
        </x15:connection>
      </ext>
    </extLst>
  </connection>
  <connection id="5" xr16:uid="{2A73D07B-EB80-4725-83D4-C0E9ECD2804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DE90CC16-A25F-4FA9-A59B-167860DE1475}" name="WorksheetConnection_Book1!Inventory_Data" type="102" refreshedVersion="7" minRefreshableVersion="5">
    <extLst>
      <ext xmlns:x15="http://schemas.microsoft.com/office/spreadsheetml/2010/11/main" uri="{DE250136-89BD-433C-8126-D09CA5730AF9}">
        <x15:connection id="Inventory_Data" autoDelete="1">
          <x15:rangePr sourceName="_xlcn.WorksheetConnection_Book1Inventory_Data"/>
        </x15:connection>
      </ext>
    </extLst>
  </connection>
  <connection id="7" xr16:uid="{E17BDEF1-4A3C-4C76-A252-0A3B0069902F}" name="WorksheetConnection_Book1!Sales_Data" type="102" refreshedVersion="7" minRefreshableVersion="5">
    <extLst>
      <ext xmlns:x15="http://schemas.microsoft.com/office/spreadsheetml/2010/11/main" uri="{DE250136-89BD-433C-8126-D09CA5730AF9}">
        <x15:connection id="Sales_Data" autoDelete="1">
          <x15:rangePr sourceName="_xlcn.WorksheetConnection_Book1Sales_Data"/>
        </x15:connection>
      </ext>
    </extLst>
  </connection>
</connections>
</file>

<file path=xl/sharedStrings.xml><?xml version="1.0" encoding="utf-8"?>
<sst xmlns="http://schemas.openxmlformats.org/spreadsheetml/2006/main" count="1496" uniqueCount="73">
  <si>
    <t>Date</t>
  </si>
  <si>
    <t>Store</t>
  </si>
  <si>
    <t>Region</t>
  </si>
  <si>
    <t>Product Category</t>
  </si>
  <si>
    <t>Product Name</t>
  </si>
  <si>
    <t>Units Sold</t>
  </si>
  <si>
    <t>Unit Price</t>
  </si>
  <si>
    <t>Sales Amount</t>
  </si>
  <si>
    <t>Cost Amount</t>
  </si>
  <si>
    <t>Profit Amount</t>
  </si>
  <si>
    <t>Profit Margin</t>
  </si>
  <si>
    <t>E101</t>
  </si>
  <si>
    <t>East</t>
  </si>
  <si>
    <t>Electronics</t>
  </si>
  <si>
    <t>Phone X</t>
  </si>
  <si>
    <t>S401</t>
  </si>
  <si>
    <t>South</t>
  </si>
  <si>
    <t>Grocery</t>
  </si>
  <si>
    <t>Rice M</t>
  </si>
  <si>
    <t>W202</t>
  </si>
  <si>
    <t>West</t>
  </si>
  <si>
    <t>Furniture</t>
  </si>
  <si>
    <t>Sofa E</t>
  </si>
  <si>
    <t>N302</t>
  </si>
  <si>
    <t>North</t>
  </si>
  <si>
    <t>Clothing</t>
  </si>
  <si>
    <t>Dress K</t>
  </si>
  <si>
    <t>S402</t>
  </si>
  <si>
    <t>Milk N</t>
  </si>
  <si>
    <t>W203</t>
  </si>
  <si>
    <t>Desk F</t>
  </si>
  <si>
    <t>N301</t>
  </si>
  <si>
    <t>Shoes L</t>
  </si>
  <si>
    <t>Bread O</t>
  </si>
  <si>
    <t>W201</t>
  </si>
  <si>
    <t>Shelf G</t>
  </si>
  <si>
    <t>Shirt H</t>
  </si>
  <si>
    <t>Sugar Q</t>
  </si>
  <si>
    <t>E102</t>
  </si>
  <si>
    <t>Chair C</t>
  </si>
  <si>
    <t>Jacket J</t>
  </si>
  <si>
    <t>Tablet A</t>
  </si>
  <si>
    <t>E103</t>
  </si>
  <si>
    <t>Laptop Z</t>
  </si>
  <si>
    <t>Headphones B</t>
  </si>
  <si>
    <t>Current Stock</t>
  </si>
  <si>
    <t>Reorder Level</t>
  </si>
  <si>
    <t>Supplier Name</t>
  </si>
  <si>
    <t>Lead Time (days)</t>
  </si>
  <si>
    <t>Supplier_A</t>
  </si>
  <si>
    <t>Supplier_B</t>
  </si>
  <si>
    <t>Supplier_C</t>
  </si>
  <si>
    <t>Supplier_D</t>
  </si>
  <si>
    <t>Row Labels</t>
  </si>
  <si>
    <t>Grand Total</t>
  </si>
  <si>
    <t>Sum of Profit Amount</t>
  </si>
  <si>
    <t>Sum of Profit Margin</t>
  </si>
  <si>
    <t>Sum of Sales Amount</t>
  </si>
  <si>
    <t>Total Sales</t>
  </si>
  <si>
    <t>Total  Profit</t>
  </si>
  <si>
    <t>Total Units</t>
  </si>
  <si>
    <t>Low Stock Items</t>
  </si>
  <si>
    <t>Date (Month Index)</t>
  </si>
  <si>
    <t>Date (Month)</t>
  </si>
  <si>
    <t>Jan</t>
  </si>
  <si>
    <t>Feb</t>
  </si>
  <si>
    <t>Mar</t>
  </si>
  <si>
    <t>Column1</t>
  </si>
  <si>
    <t>Total Profit Margin</t>
  </si>
  <si>
    <t>Sum of Sales Data.Profit Margin</t>
  </si>
  <si>
    <t>Stock Status</t>
  </si>
  <si>
    <t xml:space="preserve"> Reorder Level</t>
  </si>
  <si>
    <t xml:space="preserve"> Current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</si>
</sst>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0;\(\$#,##0.00\);\$#,##0.00"/>
    <numFmt numFmtId="165" formatCode="&quot;₹&quot;\ #,##0.00;#,##0.00\ \-&quot;₹&quot;;&quot;₹&quot;\ #,##0.00"/>
    <numFmt numFmtId="166" formatCode="&quot;₹&quot;\ #,##0.0;#,##0.0\ \-&quot;₹&quot;;&quot;₹&quot;\ #,##0.0"/>
    <numFmt numFmtId="167" formatCode="&quot;₹&quot;\ #,##0;#,##0\ \-&quot;₹&quot;;&quot;₹&quot;\ #,##0"/>
    <numFmt numFmtId="168" formatCode="_ [$₹-4009]\ * #,##0.00_ ;_ [$₹-4009]\ * \-#,##0.00_ ;_ [$₹-4009]\ * &quot;-&quot;??_ ;_ @_ "/>
    <numFmt numFmtId="169" formatCode="_ [$₹-4009]\ * #,##0.0_ ;_ [$₹-4009]\ * \-#,##0.0_ ;_ [$₹-4009]\ * &quot;-&quot;??_ ;_ @_ "/>
    <numFmt numFmtId="170" formatCode="_(* #,##0_);_(* \(#,##0\);_(* &quot;-&quot;??_);_(@_)"/>
  </numFmts>
  <fonts count="4" x14ac:knownFonts="1">
    <font>
      <sz val="11"/>
      <color theme="1"/>
      <name val="Calibri"/>
      <family val="2"/>
      <scheme val="minor"/>
    </font>
    <font>
      <b/>
      <sz val="11"/>
      <color theme="0"/>
      <name val="Calibri"/>
      <family val="2"/>
      <scheme val="minor"/>
    </font>
    <font>
      <sz val="8"/>
      <name val="Calibri"/>
      <family val="2"/>
      <scheme val="minor"/>
    </font>
    <font>
      <sz val="11"/>
      <color theme="1"/>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2"/>
        <bgColor indexed="64"/>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0">
    <xf numFmtId="0" fontId="0" fillId="0" borderId="0" xfId="0"/>
    <xf numFmtId="14" fontId="0" fillId="0" borderId="0" xfId="0" applyNumberFormat="1"/>
    <xf numFmtId="0" fontId="0" fillId="3" borderId="1" xfId="0" applyFill="1" applyBorder="1"/>
    <xf numFmtId="0" fontId="0" fillId="0" borderId="1" xfId="0"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0" fontId="1" fillId="2" borderId="2" xfId="0" applyFont="1" applyFill="1" applyBorder="1"/>
    <xf numFmtId="0" fontId="0" fillId="0" borderId="3" xfId="0" applyBorder="1"/>
    <xf numFmtId="2" fontId="0" fillId="0" borderId="0" xfId="0" applyNumberFormat="1"/>
    <xf numFmtId="167" fontId="0" fillId="0" borderId="0" xfId="0" applyNumberFormat="1"/>
    <xf numFmtId="10" fontId="0" fillId="0" borderId="0" xfId="0" applyNumberFormat="1"/>
    <xf numFmtId="166" fontId="0" fillId="0" borderId="0" xfId="0" applyNumberFormat="1"/>
    <xf numFmtId="169" fontId="0" fillId="0" borderId="0" xfId="1" applyNumberFormat="1" applyFont="1"/>
    <xf numFmtId="168" fontId="0" fillId="0" borderId="0" xfId="0" applyNumberFormat="1"/>
    <xf numFmtId="9" fontId="0" fillId="0" borderId="0" xfId="2" applyFont="1"/>
    <xf numFmtId="170" fontId="0" fillId="0" borderId="0" xfId="1" applyNumberFormat="1" applyFont="1"/>
    <xf numFmtId="0" fontId="0" fillId="4" borderId="0" xfId="0" applyFill="1"/>
  </cellXfs>
  <cellStyles count="3">
    <cellStyle name="Comma" xfId="1" builtinId="3"/>
    <cellStyle name="Normal" xfId="0" builtinId="0"/>
    <cellStyle name="Percent" xfId="2" builtinId="5"/>
  </cellStyles>
  <dxfs count="60">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numFmt numFmtId="167" formatCode="&quot;₹&quot;\ #,##0;#,##0\ \-&quot;₹&quot;;&quot;₹&quot;\ #,##0"/>
    </dxf>
    <dxf>
      <fill>
        <gradientFill degree="45">
          <stop position="0">
            <color theme="0"/>
          </stop>
          <stop position="1">
            <color rgb="FFFF0000"/>
          </stop>
        </gradient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167" formatCode="&quot;₹&quot;\ #,##0;#,##0\ \-&quot;₹&quot;;&quot;₹&quot;\ #,##0"/>
    </dxf>
    <dxf>
      <fill>
        <patternFill>
          <bgColor rgb="FFFF0000"/>
        </patternFill>
      </fill>
    </dxf>
    <dxf>
      <fill>
        <patternFill>
          <bgColor theme="8" tint="0.79998168889431442"/>
        </patternFill>
      </fill>
    </dxf>
    <dxf>
      <fill>
        <patternFill>
          <bgColor theme="4"/>
        </patternFill>
      </fill>
    </dxf>
    <dxf>
      <fill>
        <patternFill>
          <bgColor theme="8" tint="0.79998168889431442"/>
        </patternFill>
      </fill>
    </dxf>
    <dxf>
      <fill>
        <patternFill>
          <bgColor theme="4" tint="0.59996337778862885"/>
        </patternFill>
      </fill>
    </dxf>
  </dxfs>
  <tableStyles count="1" defaultTableStyle="TableStyleMedium2" defaultPivotStyle="PivotStyleLight16">
    <tableStyle name="PivotTable Style 1" table="0" count="4" xr9:uid="{8E772725-47F0-4B7F-A02F-C24F0956A0CA}">
      <tableStyleElement type="firstRowStripe" dxfId="59"/>
      <tableStyleElement type="secondRowStripe" dxfId="58"/>
      <tableStyleElement type="firstColumnStripe" dxfId="57"/>
      <tableStyleElement type="secondColumnStripe" dxfId="56"/>
    </tableStyle>
  </tableStyles>
  <colors>
    <mruColors>
      <color rgb="FFF2F2F2"/>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3.xml"/><Relationship Id="rId39" Type="http://schemas.openxmlformats.org/officeDocument/2006/relationships/customXml" Target="../customXml/item5.xml"/><Relationship Id="rId21" Type="http://schemas.openxmlformats.org/officeDocument/2006/relationships/pivotCacheDefinition" Target="pivotCache/pivotCacheDefinition17.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pivotCacheDefinition" Target="pivotCache/pivotCacheDefinition3.xml"/><Relationship Id="rId71"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theme" Target="theme/theme1.xml"/><Relationship Id="rId11" Type="http://schemas.openxmlformats.org/officeDocument/2006/relationships/pivotCacheDefinition" Target="pivotCache/pivotCacheDefinition7.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74" Type="http://schemas.openxmlformats.org/officeDocument/2006/relationships/customXml" Target="../customXml/item40.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11/relationships/timelineCache" Target="timelineCaches/timelineCach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61" Type="http://schemas.openxmlformats.org/officeDocument/2006/relationships/customXml" Target="../customXml/item27.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73"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0.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8" Type="http://schemas.openxmlformats.org/officeDocument/2006/relationships/pivotCacheDefinition" Target="pivotCache/pivotCacheDefinition4.xml"/><Relationship Id="rId51" Type="http://schemas.openxmlformats.org/officeDocument/2006/relationships/customXml" Target="../customXml/item17.xml"/><Relationship Id="rId72"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6.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75"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[Dashboard(AutoRecovered).xlsx]Sheet2!Monthly Sales Trends</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Sheet2!$F$4:$F$7</c:f>
              <c:strCache>
                <c:ptCount val="3"/>
                <c:pt idx="0">
                  <c:v>Jan</c:v>
                </c:pt>
                <c:pt idx="1">
                  <c:v>Feb</c:v>
                </c:pt>
                <c:pt idx="2">
                  <c:v>Mar</c:v>
                </c:pt>
              </c:strCache>
            </c:strRef>
          </c:cat>
          <c:val>
            <c:numRef>
              <c:f>Sheet2!$G$4:$G$7</c:f>
              <c:numCache>
                <c:formatCode>\$#,##0.00;\(\$#,##0.00\);\$#,##0.00</c:formatCode>
                <c:ptCount val="3"/>
                <c:pt idx="0">
                  <c:v>377742</c:v>
                </c:pt>
                <c:pt idx="1">
                  <c:v>607875</c:v>
                </c:pt>
                <c:pt idx="2">
                  <c:v>136431</c:v>
                </c:pt>
              </c:numCache>
            </c:numRef>
          </c:val>
          <c:smooth val="0"/>
          <c:extLst>
            <c:ext xmlns:c16="http://schemas.microsoft.com/office/drawing/2014/chart" uri="{C3380CC4-5D6E-409C-BE32-E72D297353CC}">
              <c16:uniqueId val="{00000000-AD6B-41EF-A9E6-4BF9E5D22F23}"/>
            </c:ext>
          </c:extLst>
        </c:ser>
        <c:dLbls>
          <c:dLblPos val="t"/>
          <c:showLegendKey val="0"/>
          <c:showVal val="1"/>
          <c:showCatName val="0"/>
          <c:showSerName val="0"/>
          <c:showPercent val="0"/>
          <c:showBubbleSize val="0"/>
        </c:dLbls>
        <c:marker val="1"/>
        <c:smooth val="0"/>
        <c:axId val="101496496"/>
        <c:axId val="101496824"/>
      </c:lineChart>
      <c:catAx>
        <c:axId val="10149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6824"/>
        <c:crosses val="autoZero"/>
        <c:auto val="1"/>
        <c:lblAlgn val="ctr"/>
        <c:lblOffset val="100"/>
        <c:noMultiLvlLbl val="0"/>
      </c:catAx>
      <c:valAx>
        <c:axId val="101496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[Dashboard(AutoRecovered).xlsx]Sheet2!Monthly Profit Trends</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Sheet2!$F$11:$F$14</c:f>
              <c:strCache>
                <c:ptCount val="3"/>
                <c:pt idx="0">
                  <c:v>Jan</c:v>
                </c:pt>
                <c:pt idx="1">
                  <c:v>Feb</c:v>
                </c:pt>
                <c:pt idx="2">
                  <c:v>Mar</c:v>
                </c:pt>
              </c:strCache>
            </c:strRef>
          </c:cat>
          <c:val>
            <c:numRef>
              <c:f>Sheet2!$G$11:$G$14</c:f>
              <c:numCache>
                <c:formatCode>\$#,##0.00;\(\$#,##0.00\);\$#,##0.00</c:formatCode>
                <c:ptCount val="3"/>
                <c:pt idx="0">
                  <c:v>112611.6</c:v>
                </c:pt>
                <c:pt idx="1">
                  <c:v>182362.5</c:v>
                </c:pt>
                <c:pt idx="2">
                  <c:v>40929.300000000003</c:v>
                </c:pt>
              </c:numCache>
            </c:numRef>
          </c:val>
          <c:smooth val="0"/>
          <c:extLst>
            <c:ext xmlns:c16="http://schemas.microsoft.com/office/drawing/2014/chart" uri="{C3380CC4-5D6E-409C-BE32-E72D297353CC}">
              <c16:uniqueId val="{00000000-3780-4E41-9525-103CC8F03EC9}"/>
            </c:ext>
          </c:extLst>
        </c:ser>
        <c:dLbls>
          <c:dLblPos val="t"/>
          <c:showLegendKey val="0"/>
          <c:showVal val="1"/>
          <c:showCatName val="0"/>
          <c:showSerName val="0"/>
          <c:showPercent val="0"/>
          <c:showBubbleSize val="0"/>
        </c:dLbls>
        <c:marker val="1"/>
        <c:smooth val="0"/>
        <c:axId val="1411823096"/>
        <c:axId val="1411819816"/>
      </c:lineChart>
      <c:catAx>
        <c:axId val="1411823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819816"/>
        <c:crosses val="autoZero"/>
        <c:auto val="1"/>
        <c:lblAlgn val="ctr"/>
        <c:lblOffset val="100"/>
        <c:noMultiLvlLbl val="0"/>
      </c:catAx>
      <c:valAx>
        <c:axId val="141181981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823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[Dashboard(AutoRecovered).xlsx]Sheet2!Sales by Regions</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Sheet2!$B$28</c:f>
              <c:strCache>
                <c:ptCount val="1"/>
                <c:pt idx="0">
                  <c:v>Total</c:v>
                </c:pt>
              </c:strCache>
            </c:strRef>
          </c:tx>
          <c:spPr>
            <a:solidFill>
              <a:schemeClr val="accent1"/>
            </a:solidFill>
            <a:ln>
              <a:noFill/>
            </a:ln>
            <a:effectLst/>
            <a:sp3d/>
          </c:spPr>
          <c:invertIfNegative val="0"/>
          <c:cat>
            <c:strRef>
              <c:f>Sheet2!$A$29:$A$33</c:f>
              <c:strCache>
                <c:ptCount val="4"/>
                <c:pt idx="0">
                  <c:v>East</c:v>
                </c:pt>
                <c:pt idx="1">
                  <c:v>North</c:v>
                </c:pt>
                <c:pt idx="2">
                  <c:v>South</c:v>
                </c:pt>
                <c:pt idx="3">
                  <c:v>West</c:v>
                </c:pt>
              </c:strCache>
            </c:strRef>
          </c:cat>
          <c:val>
            <c:numRef>
              <c:f>Sheet2!$B$29:$B$33</c:f>
              <c:numCache>
                <c:formatCode>\$#,##0.00;\(\$#,##0.00\);\$#,##0.00</c:formatCode>
                <c:ptCount val="4"/>
                <c:pt idx="0">
                  <c:v>661215</c:v>
                </c:pt>
                <c:pt idx="1">
                  <c:v>194395</c:v>
                </c:pt>
                <c:pt idx="2">
                  <c:v>39098</c:v>
                </c:pt>
                <c:pt idx="3">
                  <c:v>227340</c:v>
                </c:pt>
              </c:numCache>
            </c:numRef>
          </c:val>
          <c:extLst>
            <c:ext xmlns:c16="http://schemas.microsoft.com/office/drawing/2014/chart" uri="{C3380CC4-5D6E-409C-BE32-E72D297353CC}">
              <c16:uniqueId val="{00000000-2EA5-4D56-831C-9FD587DEF4BF}"/>
            </c:ext>
          </c:extLst>
        </c:ser>
        <c:dLbls>
          <c:showLegendKey val="0"/>
          <c:showVal val="0"/>
          <c:showCatName val="0"/>
          <c:showSerName val="0"/>
          <c:showPercent val="0"/>
          <c:showBubbleSize val="0"/>
        </c:dLbls>
        <c:gapWidth val="150"/>
        <c:shape val="box"/>
        <c:axId val="1408972200"/>
        <c:axId val="1408968592"/>
        <c:axId val="0"/>
      </c:bar3DChart>
      <c:catAx>
        <c:axId val="1408972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968592"/>
        <c:crosses val="autoZero"/>
        <c:auto val="1"/>
        <c:lblAlgn val="ctr"/>
        <c:lblOffset val="100"/>
        <c:noMultiLvlLbl val="0"/>
      </c:catAx>
      <c:valAx>
        <c:axId val="14089685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972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[Dashboard(AutoRecovered).xlsx]Sheet2!Sales by Category</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A47-4DB8-8CFB-899D32D3E2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47-4DB8-8CFB-899D32D3E2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A47-4DB8-8CFB-899D32D3E2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A47-4DB8-8CFB-899D32D3E257}"/>
              </c:ext>
            </c:extLst>
          </c:dPt>
          <c:cat>
            <c:strRef>
              <c:f>Sheet2!$A$37:$A$41</c:f>
              <c:strCache>
                <c:ptCount val="4"/>
                <c:pt idx="0">
                  <c:v>Clothing</c:v>
                </c:pt>
                <c:pt idx="1">
                  <c:v>Electronics</c:v>
                </c:pt>
                <c:pt idx="2">
                  <c:v>Furniture</c:v>
                </c:pt>
                <c:pt idx="3">
                  <c:v>Grocery</c:v>
                </c:pt>
              </c:strCache>
            </c:strRef>
          </c:cat>
          <c:val>
            <c:numRef>
              <c:f>Sheet2!$B$37:$B$41</c:f>
              <c:numCache>
                <c:formatCode>\$#,##0.00;\(\$#,##0.00\);\$#,##0.00</c:formatCode>
                <c:ptCount val="4"/>
                <c:pt idx="0">
                  <c:v>194395</c:v>
                </c:pt>
                <c:pt idx="1">
                  <c:v>661215</c:v>
                </c:pt>
                <c:pt idx="2">
                  <c:v>227340</c:v>
                </c:pt>
                <c:pt idx="3">
                  <c:v>39098</c:v>
                </c:pt>
              </c:numCache>
            </c:numRef>
          </c:val>
          <c:extLst>
            <c:ext xmlns:c16="http://schemas.microsoft.com/office/drawing/2014/chart" uri="{C3380CC4-5D6E-409C-BE32-E72D297353CC}">
              <c16:uniqueId val="{00000000-38AA-498C-B954-B544DAB164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Sheet2!$J$18</c:f>
              <c:strCache>
                <c:ptCount val="1"/>
                <c:pt idx="0">
                  <c:v>Total</c:v>
                </c:pt>
              </c:strCache>
            </c:strRef>
          </c:tx>
          <c:spPr>
            <a:solidFill>
              <a:schemeClr val="accent1"/>
            </a:solidFill>
            <a:ln>
              <a:noFill/>
            </a:ln>
            <a:effectLst/>
            <a:sp3d/>
          </c:spPr>
          <c:invertIfNegative val="0"/>
          <c:cat>
            <c:strRef>
              <c:f>Sheet2!$I$19:$I$24</c:f>
              <c:strCache>
                <c:ptCount val="5"/>
                <c:pt idx="0">
                  <c:v>Desk F</c:v>
                </c:pt>
                <c:pt idx="1">
                  <c:v>Headphones B</c:v>
                </c:pt>
                <c:pt idx="2">
                  <c:v>Laptop Z</c:v>
                </c:pt>
                <c:pt idx="3">
                  <c:v>Phone X</c:v>
                </c:pt>
                <c:pt idx="4">
                  <c:v>Tablet A</c:v>
                </c:pt>
              </c:strCache>
            </c:strRef>
          </c:cat>
          <c:val>
            <c:numRef>
              <c:f>Sheet2!$J$19:$J$24</c:f>
              <c:numCache>
                <c:formatCode>\$#,##0.00;\(\$#,##0.00\);\$#,##0.00</c:formatCode>
                <c:ptCount val="5"/>
                <c:pt idx="0">
                  <c:v>26646</c:v>
                </c:pt>
                <c:pt idx="1">
                  <c:v>36303.5</c:v>
                </c:pt>
                <c:pt idx="2">
                  <c:v>73595</c:v>
                </c:pt>
                <c:pt idx="3">
                  <c:v>49272</c:v>
                </c:pt>
                <c:pt idx="4">
                  <c:v>38451</c:v>
                </c:pt>
              </c:numCache>
            </c:numRef>
          </c:val>
          <c:extLst>
            <c:ext xmlns:c16="http://schemas.microsoft.com/office/drawing/2014/chart" uri="{C3380CC4-5D6E-409C-BE32-E72D297353CC}">
              <c16:uniqueId val="{00000000-6784-4983-8743-096D2A77C9C6}"/>
            </c:ext>
          </c:extLst>
        </c:ser>
        <c:dLbls>
          <c:showLegendKey val="0"/>
          <c:showVal val="0"/>
          <c:showCatName val="0"/>
          <c:showSerName val="0"/>
          <c:showPercent val="0"/>
          <c:showBubbleSize val="0"/>
        </c:dLbls>
        <c:gapWidth val="150"/>
        <c:shape val="box"/>
        <c:axId val="928430368"/>
        <c:axId val="928428400"/>
        <c:axId val="0"/>
      </c:bar3DChart>
      <c:catAx>
        <c:axId val="928430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28400"/>
        <c:crosses val="autoZero"/>
        <c:auto val="1"/>
        <c:lblAlgn val="ctr"/>
        <c:lblOffset val="100"/>
        <c:noMultiLvlLbl val="0"/>
      </c:catAx>
      <c:valAx>
        <c:axId val="9284284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3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[Dashboard(AutoRecovered).xlsx]Sheet2!Sales by Category</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a:contourClr>
              <a:schemeClr val="lt1">
                <a:lumMod val="85000"/>
              </a:schemeClr>
            </a:contourClr>
          </a:sp3d>
        </c:spPr>
        <c:dLbl>
          <c:idx val="0"/>
          <c:layout>
            <c:manualLayout>
              <c:x val="9.5207520605679278E-3"/>
              <c:y val="0.13979953708291035"/>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a:contourClr>
              <a:schemeClr val="lt1">
                <a:lumMod val="85000"/>
              </a:schemeClr>
            </a:contourClr>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a:contourClr>
              <a:schemeClr val="lt1">
                <a:lumMod val="85000"/>
              </a:schemeClr>
            </a:contourClr>
          </a:sp3d>
        </c:spPr>
        <c:dLbl>
          <c:idx val="0"/>
          <c:layout>
            <c:manualLayout>
              <c:x val="-0.21491254660406406"/>
              <c:y val="0.20004936516516267"/>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a:contourClr>
              <a:schemeClr val="lt1">
                <a:lumMod val="85000"/>
              </a:schemeClr>
            </a:contourClr>
          </a:sp3d>
        </c:spPr>
      </c:pivotFmt>
    </c:pivotFmts>
    <c:view3D>
      <c:rotX val="30"/>
      <c:rotY val="3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382702972507347E-2"/>
          <c:y val="0.29716494504079061"/>
          <c:w val="0.89923459405498529"/>
          <c:h val="0.65697050825381276"/>
        </c:manualLayout>
      </c:layout>
      <c:pie3DChart>
        <c:varyColors val="1"/>
        <c:ser>
          <c:idx val="0"/>
          <c:order val="0"/>
          <c:tx>
            <c:strRef>
              <c:f>Sheet2!$B$36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a:contourClr>
                  <a:schemeClr val="lt1">
                    <a:lumMod val="85000"/>
                  </a:schemeClr>
                </a:contourClr>
              </a:sp3d>
            </c:spPr>
            <c:extLst>
              <c:ext xmlns:c16="http://schemas.microsoft.com/office/drawing/2014/chart" uri="{C3380CC4-5D6E-409C-BE32-E72D297353CC}">
                <c16:uniqueId val="{00000001-3221-40DF-9413-39A0FA82058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a:contourClr>
                  <a:schemeClr val="lt1">
                    <a:lumMod val="85000"/>
                  </a:schemeClr>
                </a:contourClr>
              </a:sp3d>
            </c:spPr>
            <c:extLst>
              <c:ext xmlns:c16="http://schemas.microsoft.com/office/drawing/2014/chart" uri="{C3380CC4-5D6E-409C-BE32-E72D297353CC}">
                <c16:uniqueId val="{00000003-3221-40DF-9413-39A0FA82058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a:contourClr>
                  <a:schemeClr val="lt1">
                    <a:lumMod val="85000"/>
                  </a:schemeClr>
                </a:contourClr>
              </a:sp3d>
            </c:spPr>
            <c:extLst>
              <c:ext xmlns:c16="http://schemas.microsoft.com/office/drawing/2014/chart" uri="{C3380CC4-5D6E-409C-BE32-E72D297353CC}">
                <c16:uniqueId val="{00000005-3221-40DF-9413-39A0FA82058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a:contourClr>
                  <a:schemeClr val="lt1">
                    <a:lumMod val="85000"/>
                  </a:schemeClr>
                </a:contourClr>
              </a:sp3d>
            </c:spPr>
            <c:extLst>
              <c:ext xmlns:c16="http://schemas.microsoft.com/office/drawing/2014/chart" uri="{C3380CC4-5D6E-409C-BE32-E72D297353CC}">
                <c16:uniqueId val="{00000007-3221-40DF-9413-39A0FA82058D}"/>
              </c:ext>
            </c:extLst>
          </c:dPt>
          <c:dLbls>
            <c:dLbl>
              <c:idx val="0"/>
              <c:layout>
                <c:manualLayout>
                  <c:x val="9.5207520605679278E-3"/>
                  <c:y val="0.1397995370829103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21-40DF-9413-39A0FA82058D}"/>
                </c:ext>
              </c:extLst>
            </c:dLbl>
            <c:dLbl>
              <c:idx val="2"/>
              <c:layout>
                <c:manualLayout>
                  <c:x val="-0.21491254660406406"/>
                  <c:y val="0.2000493651651626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21-40DF-9413-39A0FA82058D}"/>
                </c:ext>
              </c:extLst>
            </c:dLbl>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Sheet2!$A$37:$A$41</c:f>
              <c:strCache>
                <c:ptCount val="4"/>
                <c:pt idx="0">
                  <c:v>Clothing</c:v>
                </c:pt>
                <c:pt idx="1">
                  <c:v>Electronics</c:v>
                </c:pt>
                <c:pt idx="2">
                  <c:v>Furniture</c:v>
                </c:pt>
                <c:pt idx="3">
                  <c:v>Grocery</c:v>
                </c:pt>
              </c:strCache>
            </c:strRef>
          </c:cat>
          <c:val>
            <c:numRef>
              <c:f>Sheet2!$B$37:$B$41</c:f>
              <c:numCache>
                <c:formatCode>\$#,##0.00;\(\$#,##0.00\);\$#,##0.00</c:formatCode>
                <c:ptCount val="4"/>
                <c:pt idx="0">
                  <c:v>194395</c:v>
                </c:pt>
                <c:pt idx="1">
                  <c:v>661215</c:v>
                </c:pt>
                <c:pt idx="2">
                  <c:v>227340</c:v>
                </c:pt>
                <c:pt idx="3">
                  <c:v>39098</c:v>
                </c:pt>
              </c:numCache>
            </c:numRef>
          </c:val>
          <c:extLst>
            <c:ext xmlns:c16="http://schemas.microsoft.com/office/drawing/2014/chart" uri="{C3380CC4-5D6E-409C-BE32-E72D297353CC}">
              <c16:uniqueId val="{00000008-3221-40DF-9413-39A0FA82058D}"/>
            </c:ext>
          </c:extLst>
        </c:ser>
        <c:dLbls>
          <c:showLegendKey val="0"/>
          <c:showVal val="0"/>
          <c:showCatName val="0"/>
          <c:showSerName val="0"/>
          <c:showPercent val="0"/>
          <c:showBubbleSize val="0"/>
          <c:showLeaderLines val="1"/>
        </c:dLbls>
      </c:pie3DChart>
      <c:spPr>
        <a:noFill/>
        <a:ln>
          <a:noFill/>
        </a:ln>
        <a:effectLst/>
      </c:spPr>
    </c:plotArea>
    <c:legend>
      <c:legendPos val="t"/>
      <c:layout>
        <c:manualLayout>
          <c:xMode val="edge"/>
          <c:yMode val="edge"/>
          <c:x val="3.1234814119323367E-2"/>
          <c:y val="0.16059245012221288"/>
          <c:w val="0.94083953673156284"/>
          <c:h val="7.85854399778975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[Dashboard(AutoRecovered).xlsx]Sheet2!Sales by Regions</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Sheet2!$B$28</c:f>
              <c:strCache>
                <c:ptCount val="1"/>
                <c:pt idx="0">
                  <c:v>Total</c:v>
                </c:pt>
              </c:strCache>
            </c:strRef>
          </c:tx>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sp3d/>
          </c:spPr>
          <c:invertIfNegative val="0"/>
          <c:dPt>
            <c:idx val="0"/>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1-FD77-4037-A869-F257A5C79C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Sheet2!$A$29:$A$33</c:f>
              <c:strCache>
                <c:ptCount val="4"/>
                <c:pt idx="0">
                  <c:v>East</c:v>
                </c:pt>
                <c:pt idx="1">
                  <c:v>North</c:v>
                </c:pt>
                <c:pt idx="2">
                  <c:v>South</c:v>
                </c:pt>
                <c:pt idx="3">
                  <c:v>West</c:v>
                </c:pt>
              </c:strCache>
            </c:strRef>
          </c:cat>
          <c:val>
            <c:numRef>
              <c:f>Sheet2!$B$29:$B$33</c:f>
              <c:numCache>
                <c:formatCode>\$#,##0.00;\(\$#,##0.00\);\$#,##0.00</c:formatCode>
                <c:ptCount val="4"/>
                <c:pt idx="0">
                  <c:v>661215</c:v>
                </c:pt>
                <c:pt idx="1">
                  <c:v>194395</c:v>
                </c:pt>
                <c:pt idx="2">
                  <c:v>39098</c:v>
                </c:pt>
                <c:pt idx="3">
                  <c:v>227340</c:v>
                </c:pt>
              </c:numCache>
            </c:numRef>
          </c:val>
          <c:shape val="pyramid"/>
          <c:extLst>
            <c:ext xmlns:c16="http://schemas.microsoft.com/office/drawing/2014/chart" uri="{C3380CC4-5D6E-409C-BE32-E72D297353CC}">
              <c16:uniqueId val="{00000000-AF02-4AF5-8038-3030D45E3ED3}"/>
            </c:ext>
          </c:extLst>
        </c:ser>
        <c:dLbls>
          <c:showLegendKey val="0"/>
          <c:showVal val="1"/>
          <c:showCatName val="0"/>
          <c:showSerName val="0"/>
          <c:showPercent val="0"/>
          <c:showBubbleSize val="0"/>
        </c:dLbls>
        <c:gapWidth val="150"/>
        <c:shape val="box"/>
        <c:axId val="1408972200"/>
        <c:axId val="1408968592"/>
        <c:axId val="0"/>
      </c:bar3DChart>
      <c:catAx>
        <c:axId val="14089722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8968592"/>
        <c:crosses val="autoZero"/>
        <c:auto val="1"/>
        <c:lblAlgn val="ctr"/>
        <c:lblOffset val="100"/>
        <c:noMultiLvlLbl val="0"/>
      </c:catAx>
      <c:valAx>
        <c:axId val="1408968592"/>
        <c:scaling>
          <c:orientation val="minMax"/>
        </c:scaling>
        <c:delete val="1"/>
        <c:axPos val="b"/>
        <c:majorGridlines>
          <c:spPr>
            <a:ln w="9525" cap="flat" cmpd="sng" algn="ctr">
              <a:noFill/>
              <a:round/>
            </a:ln>
            <a:effectLst/>
          </c:spPr>
        </c:majorGridlines>
        <c:numFmt formatCode="\$#,##0.00;\(\$#,##0.00\);\$#,##0.00" sourceLinked="1"/>
        <c:majorTickMark val="none"/>
        <c:minorTickMark val="none"/>
        <c:tickLblPos val="nextTo"/>
        <c:crossAx val="1408972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[Dashboard(AutoRecovered).xlsx]Sheet2!PivotTable1</c:name>
    <c:fmtId val="6"/>
  </c:pivotSource>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a:noFill/>
          </a:ln>
          <a:effectLst/>
          <a:sp3d/>
        </c:spPr>
        <c:marker>
          <c:symbol val="none"/>
        </c:marker>
        <c:dLbl>
          <c:idx val="0"/>
          <c:numFmt formatCode="[$₹-4009]\ #,##0"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a:noFill/>
          </a:ln>
          <a:effectLst/>
          <a:sp3d/>
        </c:spPr>
        <c:dLbl>
          <c:idx val="0"/>
          <c:layout>
            <c:manualLayout>
              <c:x val="-6.9715393654072545E-3"/>
              <c:y val="-3.7999423126867805E-2"/>
            </c:manualLayout>
          </c:layout>
          <c:tx>
            <c:rich>
              <a:bodyPr rot="0" spcFirstLastPara="1" vertOverflow="ellipsis"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fld id="{2F9B05CA-323E-4920-A281-82807390D925}" type="CATEGORYNAME">
                  <a:rPr lang="en-US" b="1"/>
                  <a:pPr>
                    <a:defRPr sz="900" b="0" i="0" u="none" strike="noStrike" kern="1200" baseline="0">
                      <a:solidFill>
                        <a:schemeClr val="bg1"/>
                      </a:solidFill>
                      <a:latin typeface="+mn-lt"/>
                      <a:ea typeface="+mn-ea"/>
                      <a:cs typeface="+mn-cs"/>
                    </a:defRPr>
                  </a:pPr>
                  <a:t>[CATEGORY NAME]</a:t>
                </a:fld>
                <a:endParaRPr lang="en-US" b="1" baseline="0"/>
              </a:p>
              <a:p>
                <a:pPr>
                  <a:defRPr sz="900" b="0" i="0" u="none" strike="noStrike" kern="1200" baseline="0">
                    <a:solidFill>
                      <a:schemeClr val="bg1"/>
                    </a:solidFill>
                    <a:latin typeface="+mn-lt"/>
                    <a:ea typeface="+mn-ea"/>
                    <a:cs typeface="+mn-cs"/>
                  </a:defRPr>
                </a:pPr>
                <a:fld id="{B677F329-08F0-4957-B5E0-7F4F9E635EFC}" type="VALUE">
                  <a:rPr lang="en-US" baseline="0"/>
                  <a:pPr>
                    <a:defRPr sz="900" b="0" i="0" u="none" strike="noStrike" kern="1200" baseline="0">
                      <a:solidFill>
                        <a:schemeClr val="bg1"/>
                      </a:solidFill>
                      <a:latin typeface="+mn-lt"/>
                      <a:ea typeface="+mn-ea"/>
                      <a:cs typeface="+mn-cs"/>
                    </a:defRPr>
                  </a:pPr>
                  <a:t>[VALUE]</a:t>
                </a:fld>
                <a:endParaRPr lang="en-IN"/>
              </a:p>
            </c:rich>
          </c:tx>
          <c:numFmt formatCode="[$₹-4009]\ #,##0" sourceLinked="0"/>
          <c:spPr>
            <a:noFill/>
            <a:ln>
              <a:no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285162433202965"/>
                  <c:h val="0.19024785198536515"/>
                </c:manualLayout>
              </c15:layout>
              <c15:dlblFieldTable/>
              <c15:showDataLabelsRange val="0"/>
            </c:ext>
          </c:extLst>
        </c:dLbl>
      </c:pivotFmt>
      <c:pivotFmt>
        <c:idx val="4"/>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a:noFill/>
          </a:ln>
          <a:effectLst/>
          <a:sp3d/>
        </c:spPr>
        <c:dLbl>
          <c:idx val="0"/>
          <c:layout>
            <c:manualLayout>
              <c:x val="3.4858383015678313E-3"/>
              <c:y val="1.9000309979546139E-2"/>
            </c:manualLayout>
          </c:layout>
          <c:tx>
            <c:rich>
              <a:bodyPr rot="0" spcFirstLastPara="1" vertOverflow="ellipsis" vert="horz" wrap="square" lIns="38100" tIns="19050" rIns="38100" bIns="19050" anchor="ctr" anchorCtr="0">
                <a:noAutofit/>
              </a:bodyPr>
              <a:lstStyle/>
              <a:p>
                <a:pPr>
                  <a:defRPr sz="900" b="0" i="0" u="none" strike="noStrike" kern="1200" baseline="0">
                    <a:solidFill>
                      <a:schemeClr val="bg1"/>
                    </a:solidFill>
                    <a:latin typeface="+mn-lt"/>
                    <a:ea typeface="+mn-ea"/>
                    <a:cs typeface="+mn-cs"/>
                  </a:defRPr>
                </a:pPr>
                <a:fld id="{4BE04F00-03F4-40C9-9DA6-126DCA6678E0}" type="CATEGORYNAME">
                  <a:rPr lang="en-US" b="1"/>
                  <a:pPr>
                    <a:defRPr sz="900" b="0" i="0" u="none" strike="noStrike" kern="1200" baseline="0">
                      <a:solidFill>
                        <a:schemeClr val="bg1"/>
                      </a:solidFill>
                      <a:latin typeface="+mn-lt"/>
                      <a:ea typeface="+mn-ea"/>
                      <a:cs typeface="+mn-cs"/>
                    </a:defRPr>
                  </a:pPr>
                  <a:t>[CATEGORY NAME]</a:t>
                </a:fld>
                <a:endParaRPr lang="en-US" b="1" baseline="0"/>
              </a:p>
              <a:p>
                <a:pPr>
                  <a:defRPr sz="900" b="0" i="0" u="none" strike="noStrike" kern="1200" baseline="0">
                    <a:solidFill>
                      <a:schemeClr val="bg1"/>
                    </a:solidFill>
                    <a:latin typeface="+mn-lt"/>
                    <a:ea typeface="+mn-ea"/>
                    <a:cs typeface="+mn-cs"/>
                  </a:defRPr>
                </a:pPr>
                <a:r>
                  <a:rPr lang="en-US" baseline="0"/>
                  <a:t> </a:t>
                </a:r>
                <a:fld id="{2A7C58BF-A45F-45C9-97DA-2062B3DE801C}" type="VALUE">
                  <a:rPr lang="en-US" baseline="0"/>
                  <a:pPr>
                    <a:defRPr sz="900" b="0" i="0" u="none" strike="noStrike" kern="1200" baseline="0">
                      <a:solidFill>
                        <a:schemeClr val="bg1"/>
                      </a:solidFill>
                      <a:latin typeface="+mn-lt"/>
                      <a:ea typeface="+mn-ea"/>
                      <a:cs typeface="+mn-cs"/>
                    </a:defRPr>
                  </a:pPr>
                  <a:t>[VALUE]</a:t>
                </a:fld>
                <a:endParaRPr lang="en-US" baseline="0"/>
              </a:p>
            </c:rich>
          </c:tx>
          <c:numFmt formatCode="[$₹-4009]\ #,##0" sourceLinked="0"/>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19682936931304007"/>
                  <c:h val="0.2432932514221359"/>
                </c:manualLayout>
              </c15:layout>
              <c15:dlblFieldTable/>
              <c15:showDataLabelsRange val="0"/>
            </c:ext>
          </c:extLst>
        </c:dLbl>
      </c:pivotFmt>
      <c:pivotFmt>
        <c:idx val="5"/>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sp3d/>
        </c:spPr>
        <c:dLbl>
          <c:idx val="0"/>
          <c:layout>
            <c:manualLayout>
              <c:x val="6.9716766031356625E-3"/>
              <c:y val="8.7081005365200503E-18"/>
            </c:manualLayout>
          </c:layout>
          <c:tx>
            <c:rich>
              <a:bodyPr rot="0" spcFirstLastPara="1" vertOverflow="ellipsis"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fld id="{E33D84A9-3A18-448A-AA5B-7D5B315EBCCF}" type="CATEGORYNAME">
                  <a:rPr lang="en-US" b="1"/>
                  <a:pPr>
                    <a:defRPr sz="900" b="0" i="0" u="none" strike="noStrike" kern="1200" baseline="0">
                      <a:solidFill>
                        <a:schemeClr val="bg1"/>
                      </a:solidFill>
                      <a:latin typeface="+mn-lt"/>
                      <a:ea typeface="+mn-ea"/>
                      <a:cs typeface="+mn-cs"/>
                    </a:defRPr>
                  </a:pPr>
                  <a:t>[CATEGORY NAME]</a:t>
                </a:fld>
                <a:r>
                  <a:rPr lang="en-US" baseline="0"/>
                  <a:t> </a:t>
                </a:r>
              </a:p>
              <a:p>
                <a:pPr>
                  <a:defRPr sz="900" b="0" i="0" u="none" strike="noStrike" kern="1200" baseline="0">
                    <a:solidFill>
                      <a:schemeClr val="bg1"/>
                    </a:solidFill>
                    <a:latin typeface="+mn-lt"/>
                    <a:ea typeface="+mn-ea"/>
                    <a:cs typeface="+mn-cs"/>
                  </a:defRPr>
                </a:pPr>
                <a:fld id="{9883E628-B9D1-469D-8E7E-98AEA10F2276}" type="VALUE">
                  <a:rPr lang="en-US" baseline="0"/>
                  <a:pPr>
                    <a:defRPr sz="900" b="0" i="0" u="none" strike="noStrike" kern="1200" baseline="0">
                      <a:solidFill>
                        <a:schemeClr val="bg1"/>
                      </a:solidFill>
                      <a:latin typeface="+mn-lt"/>
                      <a:ea typeface="+mn-ea"/>
                      <a:cs typeface="+mn-cs"/>
                    </a:defRPr>
                  </a:pPr>
                  <a:t>[VALUE]</a:t>
                </a:fld>
                <a:endParaRPr lang="en-IN"/>
              </a:p>
            </c:rich>
          </c:tx>
          <c:numFmt formatCode="[$₹-4009]\ #,##0" sourceLinked="0"/>
          <c:spPr>
            <a:noFill/>
            <a:ln>
              <a:no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6"/>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a:noFill/>
          </a:ln>
          <a:effectLst/>
          <a:sp3d/>
        </c:spPr>
        <c:dLbl>
          <c:idx val="0"/>
          <c:tx>
            <c:rich>
              <a:bodyPr rot="0" spcFirstLastPara="1" vertOverflow="ellipsis"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fld id="{29C2A7EC-98A9-495C-8402-8CF08D5354F2}" type="CATEGORYNAME">
                  <a:rPr lang="en-US" b="1"/>
                  <a:pPr>
                    <a:defRPr sz="900" b="0" i="0" u="none" strike="noStrike" kern="1200" baseline="0">
                      <a:solidFill>
                        <a:schemeClr val="bg1"/>
                      </a:solidFill>
                      <a:latin typeface="+mn-lt"/>
                      <a:ea typeface="+mn-ea"/>
                      <a:cs typeface="+mn-cs"/>
                    </a:defRPr>
                  </a:pPr>
                  <a:t>[CATEGORY NAME]</a:t>
                </a:fld>
                <a:r>
                  <a:rPr lang="en-US" baseline="0"/>
                  <a:t> </a:t>
                </a:r>
              </a:p>
              <a:p>
                <a:pPr>
                  <a:defRPr sz="900" b="0" i="0" u="none" strike="noStrike" kern="1200" baseline="0">
                    <a:solidFill>
                      <a:schemeClr val="bg1"/>
                    </a:solidFill>
                    <a:latin typeface="+mn-lt"/>
                    <a:ea typeface="+mn-ea"/>
                    <a:cs typeface="+mn-cs"/>
                  </a:defRPr>
                </a:pPr>
                <a:fld id="{BBBBC1A8-E7D6-4DB1-A753-CF6A0FF8DE45}" type="VALUE">
                  <a:rPr lang="en-US" baseline="0"/>
                  <a:pPr>
                    <a:defRPr sz="900" b="0" i="0" u="none" strike="noStrike" kern="1200" baseline="0">
                      <a:solidFill>
                        <a:schemeClr val="bg1"/>
                      </a:solidFill>
                      <a:latin typeface="+mn-lt"/>
                      <a:ea typeface="+mn-ea"/>
                      <a:cs typeface="+mn-cs"/>
                    </a:defRPr>
                  </a:pPr>
                  <a:t>[VALUE]</a:t>
                </a:fld>
                <a:endParaRPr lang="en-IN"/>
              </a:p>
            </c:rich>
          </c:tx>
          <c:numFmt formatCode="[$₹-4009]\ #,##0" sourceLinked="0"/>
          <c:spPr>
            <a:noFill/>
            <a:ln>
              <a:no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0176032089474608"/>
                  <c:h val="0.18976911909557784"/>
                </c:manualLayout>
              </c15:layout>
              <c15:dlblFieldTable/>
              <c15:showDataLabelsRange val="0"/>
            </c:ext>
          </c:extLst>
        </c:dLbl>
      </c:pivotFmt>
      <c:pivotFmt>
        <c:idx val="7"/>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a:noFill/>
          </a:ln>
          <a:effectLst/>
          <a:sp3d/>
        </c:spPr>
        <c:dLbl>
          <c:idx val="0"/>
          <c:layout>
            <c:manualLayout>
              <c:x val="6.9716766031356625E-3"/>
              <c:y val="0"/>
            </c:manualLayout>
          </c:layout>
          <c:tx>
            <c:rich>
              <a:bodyPr rot="0" spcFirstLastPara="1" vertOverflow="ellipsis"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fld id="{A5101574-7B09-4487-BF3A-578718A660F1}" type="CATEGORYNAME">
                  <a:rPr lang="en-US" b="1"/>
                  <a:pPr>
                    <a:defRPr sz="900" b="0" i="0" u="none" strike="noStrike" kern="1200" baseline="0">
                      <a:solidFill>
                        <a:schemeClr val="bg1"/>
                      </a:solidFill>
                      <a:latin typeface="+mn-lt"/>
                      <a:ea typeface="+mn-ea"/>
                      <a:cs typeface="+mn-cs"/>
                    </a:defRPr>
                  </a:pPr>
                  <a:t>[CATEGORY NAME]</a:t>
                </a:fld>
                <a:endParaRPr lang="en-US" b="1" baseline="0"/>
              </a:p>
              <a:p>
                <a:pPr>
                  <a:defRPr sz="900" b="0" i="0" u="none" strike="noStrike" kern="1200" baseline="0">
                    <a:solidFill>
                      <a:schemeClr val="bg1"/>
                    </a:solidFill>
                    <a:latin typeface="+mn-lt"/>
                    <a:ea typeface="+mn-ea"/>
                    <a:cs typeface="+mn-cs"/>
                  </a:defRPr>
                </a:pPr>
                <a:r>
                  <a:rPr lang="en-US" baseline="0"/>
                  <a:t> </a:t>
                </a:r>
                <a:fld id="{1FB964EE-AA28-49B6-B8D8-D3C7851345AD}" type="VALUE">
                  <a:rPr lang="en-US" baseline="0"/>
                  <a:pPr>
                    <a:defRPr sz="900" b="0" i="0" u="none" strike="noStrike" kern="1200" baseline="0">
                      <a:solidFill>
                        <a:schemeClr val="bg1"/>
                      </a:solidFill>
                      <a:latin typeface="+mn-lt"/>
                      <a:ea typeface="+mn-ea"/>
                      <a:cs typeface="+mn-cs"/>
                    </a:defRPr>
                  </a:pPr>
                  <a:t>[VALUE]</a:t>
                </a:fld>
                <a:endParaRPr lang="en-US" baseline="0"/>
              </a:p>
            </c:rich>
          </c:tx>
          <c:numFmt formatCode="[$₹-4009]\ #,##0" sourceLinked="0"/>
          <c:spPr>
            <a:noFill/>
            <a:ln>
              <a:no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572056138127888E-2"/>
          <c:y val="0.14685984251968504"/>
          <c:w val="0.92195123041343219"/>
          <c:h val="0.82995174256860504"/>
        </c:manualLayout>
      </c:layout>
      <c:bar3DChart>
        <c:barDir val="col"/>
        <c:grouping val="clustered"/>
        <c:varyColors val="0"/>
        <c:ser>
          <c:idx val="0"/>
          <c:order val="0"/>
          <c:tx>
            <c:strRef>
              <c:f>Sheet2!$J$18</c:f>
              <c:strCache>
                <c:ptCount val="1"/>
                <c:pt idx="0">
                  <c:v>Total</c:v>
                </c:pt>
              </c:strCache>
            </c:strRef>
          </c:tx>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a:noFill/>
            </a:ln>
            <a:effectLst/>
            <a:sp3d/>
          </c:spPr>
          <c:invertIfNegative val="0"/>
          <c:dPt>
            <c:idx val="0"/>
            <c:invertIfNegative val="0"/>
            <c:bubble3D val="0"/>
            <c:extLst>
              <c:ext xmlns:c16="http://schemas.microsoft.com/office/drawing/2014/chart" uri="{C3380CC4-5D6E-409C-BE32-E72D297353CC}">
                <c16:uniqueId val="{00000003-E7A7-445D-93A0-F1990B493044}"/>
              </c:ext>
            </c:extLst>
          </c:dPt>
          <c:dPt>
            <c:idx val="1"/>
            <c:invertIfNegative val="0"/>
            <c:bubble3D val="0"/>
            <c:extLst>
              <c:ext xmlns:c16="http://schemas.microsoft.com/office/drawing/2014/chart" uri="{C3380CC4-5D6E-409C-BE32-E72D297353CC}">
                <c16:uniqueId val="{00000002-E7A7-445D-93A0-F1990B493044}"/>
              </c:ext>
            </c:extLst>
          </c:dPt>
          <c:dPt>
            <c:idx val="2"/>
            <c:invertIfNegative val="0"/>
            <c:bubble3D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sp3d/>
            </c:spPr>
            <c:extLst>
              <c:ext xmlns:c16="http://schemas.microsoft.com/office/drawing/2014/chart" uri="{C3380CC4-5D6E-409C-BE32-E72D297353CC}">
                <c16:uniqueId val="{00000004-E7A7-445D-93A0-F1990B493044}"/>
              </c:ext>
            </c:extLst>
          </c:dPt>
          <c:dPt>
            <c:idx val="3"/>
            <c:invertIfNegative val="0"/>
            <c:bubble3D val="0"/>
            <c:extLst>
              <c:ext xmlns:c16="http://schemas.microsoft.com/office/drawing/2014/chart" uri="{C3380CC4-5D6E-409C-BE32-E72D297353CC}">
                <c16:uniqueId val="{00000003-6DD9-45ED-90BF-9A053D25A2DF}"/>
              </c:ext>
            </c:extLst>
          </c:dPt>
          <c:dPt>
            <c:idx val="4"/>
            <c:invertIfNegative val="0"/>
            <c:bubble3D val="0"/>
            <c:extLst>
              <c:ext xmlns:c16="http://schemas.microsoft.com/office/drawing/2014/chart" uri="{C3380CC4-5D6E-409C-BE32-E72D297353CC}">
                <c16:uniqueId val="{00000004-6DD9-45ED-90BF-9A053D25A2DF}"/>
              </c:ext>
            </c:extLst>
          </c:dPt>
          <c:dLbls>
            <c:dLbl>
              <c:idx val="0"/>
              <c:layout>
                <c:manualLayout>
                  <c:x val="3.4858383015678313E-3"/>
                  <c:y val="1.9000309979546139E-2"/>
                </c:manualLayout>
              </c:layout>
              <c:tx>
                <c:rich>
                  <a:bodyPr rot="0" spcFirstLastPara="1" vertOverflow="ellipsis" vert="horz" wrap="square" lIns="38100" tIns="19050" rIns="38100" bIns="19050" anchor="ctr" anchorCtr="0">
                    <a:noAutofit/>
                  </a:bodyPr>
                  <a:lstStyle/>
                  <a:p>
                    <a:pPr>
                      <a:defRPr sz="900" b="0" i="0" u="none" strike="noStrike" kern="1200" baseline="0">
                        <a:solidFill>
                          <a:schemeClr val="bg1"/>
                        </a:solidFill>
                        <a:latin typeface="+mn-lt"/>
                        <a:ea typeface="+mn-ea"/>
                        <a:cs typeface="+mn-cs"/>
                      </a:defRPr>
                    </a:pPr>
                    <a:fld id="{4BE04F00-03F4-40C9-9DA6-126DCA6678E0}" type="CATEGORYNAME">
                      <a:rPr lang="en-US" b="1"/>
                      <a:pPr>
                        <a:defRPr sz="900" b="0" i="0" u="none" strike="noStrike" kern="1200" baseline="0">
                          <a:solidFill>
                            <a:schemeClr val="bg1"/>
                          </a:solidFill>
                          <a:latin typeface="+mn-lt"/>
                          <a:ea typeface="+mn-ea"/>
                          <a:cs typeface="+mn-cs"/>
                        </a:defRPr>
                      </a:pPr>
                      <a:t>[CATEGORY NAME]</a:t>
                    </a:fld>
                    <a:endParaRPr lang="en-US" b="1" baseline="0"/>
                  </a:p>
                  <a:p>
                    <a:pPr>
                      <a:defRPr sz="900" b="0" i="0" u="none" strike="noStrike" kern="1200" baseline="0">
                        <a:solidFill>
                          <a:schemeClr val="bg1"/>
                        </a:solidFill>
                        <a:latin typeface="+mn-lt"/>
                        <a:ea typeface="+mn-ea"/>
                        <a:cs typeface="+mn-cs"/>
                      </a:defRPr>
                    </a:pPr>
                    <a:r>
                      <a:rPr lang="en-US" baseline="0"/>
                      <a:t> </a:t>
                    </a:r>
                    <a:fld id="{2A7C58BF-A45F-45C9-97DA-2062B3DE801C}" type="VALUE">
                      <a:rPr lang="en-US" baseline="0"/>
                      <a:pPr>
                        <a:defRPr sz="900" b="0" i="0" u="none" strike="noStrike" kern="1200" baseline="0">
                          <a:solidFill>
                            <a:schemeClr val="bg1"/>
                          </a:solidFill>
                          <a:latin typeface="+mn-lt"/>
                          <a:ea typeface="+mn-ea"/>
                          <a:cs typeface="+mn-cs"/>
                        </a:defRPr>
                      </a:pPr>
                      <a:t>[VALUE]</a:t>
                    </a:fld>
                    <a:endParaRPr lang="en-US" baseline="0"/>
                  </a:p>
                </c:rich>
              </c:tx>
              <c:numFmt formatCode="[$₹-4009]\ #,##0" sourceLinked="0"/>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19682936931304007"/>
                      <c:h val="0.2432932514221359"/>
                    </c:manualLayout>
                  </c15:layout>
                  <c15:dlblFieldTable/>
                  <c15:showDataLabelsRange val="0"/>
                </c:ext>
                <c:ext xmlns:c16="http://schemas.microsoft.com/office/drawing/2014/chart" uri="{C3380CC4-5D6E-409C-BE32-E72D297353CC}">
                  <c16:uniqueId val="{00000003-E7A7-445D-93A0-F1990B493044}"/>
                </c:ext>
              </c:extLst>
            </c:dLbl>
            <c:dLbl>
              <c:idx val="1"/>
              <c:layout>
                <c:manualLayout>
                  <c:x val="-6.9715393654072545E-3"/>
                  <c:y val="-3.7999423126867805E-2"/>
                </c:manualLayout>
              </c:layout>
              <c:tx>
                <c:rich>
                  <a:bodyPr/>
                  <a:lstStyle/>
                  <a:p>
                    <a:fld id="{2F9B05CA-323E-4920-A281-82807390D925}" type="CATEGORYNAME">
                      <a:rPr lang="en-US" b="1"/>
                      <a:pPr/>
                      <a:t>[CATEGORY NAME]</a:t>
                    </a:fld>
                    <a:endParaRPr lang="en-US" b="1" baseline="0"/>
                  </a:p>
                  <a:p>
                    <a:fld id="{B677F329-08F0-4957-B5E0-7F4F9E635EFC}"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manualLayout>
                      <c:w val="0.28285162433202965"/>
                      <c:h val="0.19024785198536515"/>
                    </c:manualLayout>
                  </c15:layout>
                  <c15:dlblFieldTable/>
                  <c15:showDataLabelsRange val="0"/>
                </c:ext>
                <c:ext xmlns:c16="http://schemas.microsoft.com/office/drawing/2014/chart" uri="{C3380CC4-5D6E-409C-BE32-E72D297353CC}">
                  <c16:uniqueId val="{00000002-E7A7-445D-93A0-F1990B493044}"/>
                </c:ext>
              </c:extLst>
            </c:dLbl>
            <c:dLbl>
              <c:idx val="2"/>
              <c:layout>
                <c:manualLayout>
                  <c:x val="6.9716766031356625E-3"/>
                  <c:y val="8.7081005365200503E-18"/>
                </c:manualLayout>
              </c:layout>
              <c:tx>
                <c:rich>
                  <a:bodyPr/>
                  <a:lstStyle/>
                  <a:p>
                    <a:fld id="{E33D84A9-3A18-448A-AA5B-7D5B315EBCCF}" type="CATEGORYNAME">
                      <a:rPr lang="en-US" b="1"/>
                      <a:pPr/>
                      <a:t>[CATEGORY NAME]</a:t>
                    </a:fld>
                    <a:r>
                      <a:rPr lang="en-US" baseline="0"/>
                      <a:t> </a:t>
                    </a:r>
                  </a:p>
                  <a:p>
                    <a:fld id="{9883E628-B9D1-469D-8E7E-98AEA10F2276}"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7A7-445D-93A0-F1990B493044}"/>
                </c:ext>
              </c:extLst>
            </c:dLbl>
            <c:dLbl>
              <c:idx val="3"/>
              <c:tx>
                <c:rich>
                  <a:bodyPr/>
                  <a:lstStyle/>
                  <a:p>
                    <a:fld id="{29C2A7EC-98A9-495C-8402-8CF08D5354F2}" type="CATEGORYNAME">
                      <a:rPr lang="en-US" b="1"/>
                      <a:pPr/>
                      <a:t>[CATEGORY NAME]</a:t>
                    </a:fld>
                    <a:r>
                      <a:rPr lang="en-US" baseline="0"/>
                      <a:t> </a:t>
                    </a:r>
                  </a:p>
                  <a:p>
                    <a:fld id="{BBBBC1A8-E7D6-4DB1-A753-CF6A0FF8DE45}"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manualLayout>
                      <c:w val="0.20176032089474608"/>
                      <c:h val="0.18976911909557784"/>
                    </c:manualLayout>
                  </c15:layout>
                  <c15:dlblFieldTable/>
                  <c15:showDataLabelsRange val="0"/>
                </c:ext>
                <c:ext xmlns:c16="http://schemas.microsoft.com/office/drawing/2014/chart" uri="{C3380CC4-5D6E-409C-BE32-E72D297353CC}">
                  <c16:uniqueId val="{00000003-6DD9-45ED-90BF-9A053D25A2DF}"/>
                </c:ext>
              </c:extLst>
            </c:dLbl>
            <c:dLbl>
              <c:idx val="4"/>
              <c:layout>
                <c:manualLayout>
                  <c:x val="6.9716766031356625E-3"/>
                  <c:y val="0"/>
                </c:manualLayout>
              </c:layout>
              <c:tx>
                <c:rich>
                  <a:bodyPr/>
                  <a:lstStyle/>
                  <a:p>
                    <a:fld id="{A5101574-7B09-4487-BF3A-578718A660F1}" type="CATEGORYNAME">
                      <a:rPr lang="en-US" b="1"/>
                      <a:pPr/>
                      <a:t>[CATEGORY NAME]</a:t>
                    </a:fld>
                    <a:endParaRPr lang="en-US" b="1" baseline="0"/>
                  </a:p>
                  <a:p>
                    <a:r>
                      <a:rPr lang="en-US" baseline="0"/>
                      <a:t> </a:t>
                    </a:r>
                    <a:fld id="{1FB964EE-AA28-49B6-B8D8-D3C7851345A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DD9-45ED-90BF-9A053D25A2DF}"/>
                </c:ext>
              </c:extLst>
            </c:dLbl>
            <c:numFmt formatCode="[$₹-4009]\ #,##0"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Sheet2!$I$19:$I$24</c:f>
              <c:strCache>
                <c:ptCount val="5"/>
                <c:pt idx="0">
                  <c:v>Desk F</c:v>
                </c:pt>
                <c:pt idx="1">
                  <c:v>Headphones B</c:v>
                </c:pt>
                <c:pt idx="2">
                  <c:v>Laptop Z</c:v>
                </c:pt>
                <c:pt idx="3">
                  <c:v>Phone X</c:v>
                </c:pt>
                <c:pt idx="4">
                  <c:v>Tablet A</c:v>
                </c:pt>
              </c:strCache>
            </c:strRef>
          </c:cat>
          <c:val>
            <c:numRef>
              <c:f>Sheet2!$J$19:$J$24</c:f>
              <c:numCache>
                <c:formatCode>\$#,##0.00;\(\$#,##0.00\);\$#,##0.00</c:formatCode>
                <c:ptCount val="5"/>
                <c:pt idx="0">
                  <c:v>26646</c:v>
                </c:pt>
                <c:pt idx="1">
                  <c:v>36303.5</c:v>
                </c:pt>
                <c:pt idx="2">
                  <c:v>73595</c:v>
                </c:pt>
                <c:pt idx="3">
                  <c:v>49272</c:v>
                </c:pt>
                <c:pt idx="4">
                  <c:v>38451</c:v>
                </c:pt>
              </c:numCache>
            </c:numRef>
          </c:val>
          <c:shape val="cone"/>
          <c:extLst>
            <c:ext xmlns:c16="http://schemas.microsoft.com/office/drawing/2014/chart" uri="{C3380CC4-5D6E-409C-BE32-E72D297353CC}">
              <c16:uniqueId val="{00000000-E7A7-445D-93A0-F1990B493044}"/>
            </c:ext>
          </c:extLst>
        </c:ser>
        <c:dLbls>
          <c:showLegendKey val="0"/>
          <c:showVal val="1"/>
          <c:showCatName val="0"/>
          <c:showSerName val="0"/>
          <c:showPercent val="0"/>
          <c:showBubbleSize val="0"/>
        </c:dLbls>
        <c:gapWidth val="150"/>
        <c:shape val="box"/>
        <c:axId val="928430368"/>
        <c:axId val="928428400"/>
        <c:axId val="0"/>
      </c:bar3DChart>
      <c:catAx>
        <c:axId val="928430368"/>
        <c:scaling>
          <c:orientation val="minMax"/>
        </c:scaling>
        <c:delete val="1"/>
        <c:axPos val="b"/>
        <c:numFmt formatCode="General" sourceLinked="1"/>
        <c:majorTickMark val="out"/>
        <c:minorTickMark val="none"/>
        <c:tickLblPos val="nextTo"/>
        <c:crossAx val="928428400"/>
        <c:crosses val="autoZero"/>
        <c:auto val="1"/>
        <c:lblAlgn val="ctr"/>
        <c:lblOffset val="100"/>
        <c:noMultiLvlLbl val="0"/>
      </c:catAx>
      <c:valAx>
        <c:axId val="928428400"/>
        <c:scaling>
          <c:orientation val="minMax"/>
        </c:scaling>
        <c:delete val="1"/>
        <c:axPos val="l"/>
        <c:numFmt formatCode="\$#,##0.00;\(\$#,##0.00\);\$#,##0.00" sourceLinked="1"/>
        <c:majorTickMark val="out"/>
        <c:minorTickMark val="none"/>
        <c:tickLblPos val="nextTo"/>
        <c:crossAx val="92843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[Dashboard(AutoRecovered).xlsx]Sheet2!Monthly Profit Trends</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numFmt formatCode="[$₹-4009]\ #,##0" sourceLinked="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28310502283102E-2"/>
          <c:y val="0.18151252096951984"/>
          <c:w val="0.8995433789954338"/>
          <c:h val="0.64303847672405634"/>
        </c:manualLayout>
      </c:layout>
      <c:lineChart>
        <c:grouping val="standard"/>
        <c:varyColors val="0"/>
        <c:ser>
          <c:idx val="0"/>
          <c:order val="0"/>
          <c:tx>
            <c:strRef>
              <c:f>Sheet2!$G$10</c:f>
              <c:strCache>
                <c:ptCount val="1"/>
                <c:pt idx="0">
                  <c:v>Total</c:v>
                </c:pt>
              </c:strCache>
            </c:strRef>
          </c:tx>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s>
            <c:numFmt formatCode="[$₹-4009]\ #,##0" sourceLinked="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Sheet2!$F$11:$F$14</c:f>
              <c:strCache>
                <c:ptCount val="3"/>
                <c:pt idx="0">
                  <c:v>Jan</c:v>
                </c:pt>
                <c:pt idx="1">
                  <c:v>Feb</c:v>
                </c:pt>
                <c:pt idx="2">
                  <c:v>Mar</c:v>
                </c:pt>
              </c:strCache>
            </c:strRef>
          </c:cat>
          <c:val>
            <c:numRef>
              <c:f>Sheet2!$G$11:$G$14</c:f>
              <c:numCache>
                <c:formatCode>\$#,##0.00;\(\$#,##0.00\);\$#,##0.00</c:formatCode>
                <c:ptCount val="3"/>
                <c:pt idx="0">
                  <c:v>112611.6</c:v>
                </c:pt>
                <c:pt idx="1">
                  <c:v>182362.5</c:v>
                </c:pt>
                <c:pt idx="2">
                  <c:v>40929.300000000003</c:v>
                </c:pt>
              </c:numCache>
            </c:numRef>
          </c:val>
          <c:smooth val="0"/>
          <c:extLst>
            <c:ext xmlns:c16="http://schemas.microsoft.com/office/drawing/2014/chart" uri="{C3380CC4-5D6E-409C-BE32-E72D297353CC}">
              <c16:uniqueId val="{00000001-9B86-48EC-9885-2C369B8D7D4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11823096"/>
        <c:axId val="1411819816"/>
      </c:lineChart>
      <c:catAx>
        <c:axId val="1411823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11819816"/>
        <c:crosses val="autoZero"/>
        <c:auto val="1"/>
        <c:lblAlgn val="ctr"/>
        <c:lblOffset val="100"/>
        <c:noMultiLvlLbl val="0"/>
      </c:catAx>
      <c:valAx>
        <c:axId val="1411819816"/>
        <c:scaling>
          <c:orientation val="minMax"/>
        </c:scaling>
        <c:delete val="1"/>
        <c:axPos val="l"/>
        <c:numFmt formatCode="\$#,##0.00;\(\$#,##0.00\);\$#,##0.00" sourceLinked="1"/>
        <c:majorTickMark val="none"/>
        <c:minorTickMark val="none"/>
        <c:tickLblPos val="nextTo"/>
        <c:crossAx val="1411823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rnd" cmpd="sng" algn="ctr">
      <a:no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[Dashboard(AutoRecovered).xlsx]Sheet2!Monthly Sales Trends</c:name>
    <c:fmtId val="3"/>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numFmt formatCode="[$₹-4009]\ #,##0" sourceLinked="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manualLayout>
          <c:layoutTarget val="inner"/>
          <c:xMode val="edge"/>
          <c:yMode val="edge"/>
          <c:x val="7.8260875869333696E-2"/>
          <c:y val="0.17657378747291691"/>
          <c:w val="0.85728899106180323"/>
          <c:h val="0.65266995777587333"/>
        </c:manualLayout>
      </c:layout>
      <c:lineChart>
        <c:grouping val="standard"/>
        <c:varyColors val="0"/>
        <c:ser>
          <c:idx val="0"/>
          <c:order val="0"/>
          <c:tx>
            <c:strRef>
              <c:f>Sheet2!$G$3</c:f>
              <c:strCache>
                <c:ptCount val="1"/>
                <c:pt idx="0">
                  <c:v>Total</c:v>
                </c:pt>
              </c:strCache>
            </c:strRef>
          </c:tx>
          <c:spPr>
            <a:ln w="25400" cap="rnd">
              <a:solidFill>
                <a:schemeClr val="accent2">
                  <a:lumMod val="60000"/>
                  <a:lumOff val="4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s>
            <c:numFmt formatCode="[$₹-4009]\ #,##0" sourceLinked="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Sheet2!$F$4:$F$7</c:f>
              <c:strCache>
                <c:ptCount val="3"/>
                <c:pt idx="0">
                  <c:v>Jan</c:v>
                </c:pt>
                <c:pt idx="1">
                  <c:v>Feb</c:v>
                </c:pt>
                <c:pt idx="2">
                  <c:v>Mar</c:v>
                </c:pt>
              </c:strCache>
            </c:strRef>
          </c:cat>
          <c:val>
            <c:numRef>
              <c:f>Sheet2!$G$4:$G$7</c:f>
              <c:numCache>
                <c:formatCode>\$#,##0.00;\(\$#,##0.00\);\$#,##0.00</c:formatCode>
                <c:ptCount val="3"/>
                <c:pt idx="0">
                  <c:v>377742</c:v>
                </c:pt>
                <c:pt idx="1">
                  <c:v>607875</c:v>
                </c:pt>
                <c:pt idx="2">
                  <c:v>136431</c:v>
                </c:pt>
              </c:numCache>
            </c:numRef>
          </c:val>
          <c:smooth val="0"/>
          <c:extLst>
            <c:ext xmlns:c16="http://schemas.microsoft.com/office/drawing/2014/chart" uri="{C3380CC4-5D6E-409C-BE32-E72D297353CC}">
              <c16:uniqueId val="{00000000-242A-40F4-A7AA-FF372D7ADC0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1496496"/>
        <c:axId val="101496824"/>
      </c:lineChart>
      <c:catAx>
        <c:axId val="101496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01496824"/>
        <c:crosses val="autoZero"/>
        <c:auto val="1"/>
        <c:lblAlgn val="ctr"/>
        <c:lblOffset val="100"/>
        <c:noMultiLvlLbl val="0"/>
      </c:catAx>
      <c:valAx>
        <c:axId val="101496824"/>
        <c:scaling>
          <c:orientation val="minMax"/>
        </c:scaling>
        <c:delete val="1"/>
        <c:axPos val="l"/>
        <c:numFmt formatCode="\$#,##0.00;\(\$#,##0.00\);\$#,##0.00" sourceLinked="1"/>
        <c:majorTickMark val="none"/>
        <c:minorTickMark val="none"/>
        <c:tickLblPos val="nextTo"/>
        <c:crossAx val="10149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7</xdr:col>
      <xdr:colOff>82550</xdr:colOff>
      <xdr:row>12</xdr:row>
      <xdr:rowOff>120651</xdr:rowOff>
    </xdr:from>
    <xdr:to>
      <xdr:col>10</xdr:col>
      <xdr:colOff>588342</xdr:colOff>
      <xdr:row>15</xdr:row>
      <xdr:rowOff>177801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7E84433-8B08-4C9B-B110-77396A3B62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82941" y="2307260"/>
              <a:ext cx="3929270" cy="603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63500</xdr:colOff>
      <xdr:row>5</xdr:row>
      <xdr:rowOff>171451</xdr:rowOff>
    </xdr:from>
    <xdr:to>
      <xdr:col>10</xdr:col>
      <xdr:colOff>632792</xdr:colOff>
      <xdr:row>12</xdr:row>
      <xdr:rowOff>44451</xdr:rowOff>
    </xdr:to>
    <mc:AlternateContent xmlns:mc="http://schemas.openxmlformats.org/markup-compatibility/2006" xmlns:a14="http://schemas.microsoft.com/office/drawing/2010/main">
      <mc:Choice Requires="a14">
        <xdr:graphicFrame macro="">
          <xdr:nvGraphicFramePr>
            <xdr:cNvPr id="3" name="Store">
              <a:extLst>
                <a:ext uri="{FF2B5EF4-FFF2-40B4-BE49-F238E27FC236}">
                  <a16:creationId xmlns:a16="http://schemas.microsoft.com/office/drawing/2014/main" id="{04338739-0955-4C4E-A760-B0B023561317}"/>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8163891" y="1082538"/>
              <a:ext cx="3992770" cy="1148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69850</xdr:colOff>
      <xdr:row>2</xdr:row>
      <xdr:rowOff>6351</xdr:rowOff>
    </xdr:from>
    <xdr:to>
      <xdr:col>10</xdr:col>
      <xdr:colOff>639142</xdr:colOff>
      <xdr:row>5</xdr:row>
      <xdr:rowOff>82551</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72E3F5FA-FFC2-49F6-B337-78C1DE482E1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170241" y="370786"/>
              <a:ext cx="3992770" cy="622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603250</xdr:colOff>
      <xdr:row>15</xdr:row>
      <xdr:rowOff>12700</xdr:rowOff>
    </xdr:from>
    <xdr:to>
      <xdr:col>6</xdr:col>
      <xdr:colOff>1282700</xdr:colOff>
      <xdr:row>25</xdr:row>
      <xdr:rowOff>0</xdr:rowOff>
    </xdr:to>
    <xdr:graphicFrame macro="">
      <xdr:nvGraphicFramePr>
        <xdr:cNvPr id="5" name="Chart 4">
          <a:extLst>
            <a:ext uri="{FF2B5EF4-FFF2-40B4-BE49-F238E27FC236}">
              <a16:creationId xmlns:a16="http://schemas.microsoft.com/office/drawing/2014/main" id="{4678F5B8-3B3A-4E14-BEF5-C9C92395F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136525</xdr:colOff>
      <xdr:row>15</xdr:row>
      <xdr:rowOff>6350</xdr:rowOff>
    </xdr:from>
    <xdr:to>
      <xdr:col>3</xdr:col>
      <xdr:colOff>381000</xdr:colOff>
      <xdr:row>25</xdr:row>
      <xdr:rowOff>0</xdr:rowOff>
    </xdr:to>
    <xdr:graphicFrame macro="">
      <xdr:nvGraphicFramePr>
        <xdr:cNvPr id="6" name="Chart 5">
          <a:extLst>
            <a:ext uri="{FF2B5EF4-FFF2-40B4-BE49-F238E27FC236}">
              <a16:creationId xmlns:a16="http://schemas.microsoft.com/office/drawing/2014/main" id="{D1998CAE-186D-4820-A08E-C7945D697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142875</xdr:colOff>
      <xdr:row>26</xdr:row>
      <xdr:rowOff>177800</xdr:rowOff>
    </xdr:from>
    <xdr:to>
      <xdr:col>6</xdr:col>
      <xdr:colOff>571500</xdr:colOff>
      <xdr:row>34</xdr:row>
      <xdr:rowOff>6350</xdr:rowOff>
    </xdr:to>
    <xdr:graphicFrame macro="">
      <xdr:nvGraphicFramePr>
        <xdr:cNvPr id="7" name="Chart 6">
          <a:extLst>
            <a:ext uri="{FF2B5EF4-FFF2-40B4-BE49-F238E27FC236}">
              <a16:creationId xmlns:a16="http://schemas.microsoft.com/office/drawing/2014/main" id="{4ACAA2A7-51D2-4E53-ABFD-C04B905FE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127000</xdr:colOff>
      <xdr:row>35</xdr:row>
      <xdr:rowOff>6350</xdr:rowOff>
    </xdr:from>
    <xdr:to>
      <xdr:col>6</xdr:col>
      <xdr:colOff>1143000</xdr:colOff>
      <xdr:row>42</xdr:row>
      <xdr:rowOff>12700</xdr:rowOff>
    </xdr:to>
    <xdr:graphicFrame macro="">
      <xdr:nvGraphicFramePr>
        <xdr:cNvPr id="8" name="Chart 7">
          <a:extLst>
            <a:ext uri="{FF2B5EF4-FFF2-40B4-BE49-F238E27FC236}">
              <a16:creationId xmlns:a16="http://schemas.microsoft.com/office/drawing/2014/main" id="{C55B2524-922F-4A02-8046-D22668732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11043</xdr:colOff>
      <xdr:row>24</xdr:row>
      <xdr:rowOff>83379</xdr:rowOff>
    </xdr:from>
    <xdr:to>
      <xdr:col>12</xdr:col>
      <xdr:colOff>66260</xdr:colOff>
      <xdr:row>39</xdr:row>
      <xdr:rowOff>93318</xdr:rowOff>
    </xdr:to>
    <xdr:graphicFrame macro="">
      <xdr:nvGraphicFramePr>
        <xdr:cNvPr id="9" name="Chart 8">
          <a:extLst>
            <a:ext uri="{FF2B5EF4-FFF2-40B4-BE49-F238E27FC236}">
              <a16:creationId xmlns:a16="http://schemas.microsoft.com/office/drawing/2014/main" id="{CCEAAB38-CEEA-48CB-BF79-F5A751577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242957</xdr:colOff>
      <xdr:row>54</xdr:row>
      <xdr:rowOff>5522</xdr:rowOff>
    </xdr:from>
    <xdr:ext cx="679353" cy="781240"/>
    <xdr:sp macro="" textlink="">
      <xdr:nvSpPr>
        <xdr:cNvPr id="10" name="TextBox 9">
          <a:extLst>
            <a:ext uri="{FF2B5EF4-FFF2-40B4-BE49-F238E27FC236}">
              <a16:creationId xmlns:a16="http://schemas.microsoft.com/office/drawing/2014/main" id="{0ED828D8-41BA-4369-BC67-0D362BF00701}"/>
            </a:ext>
          </a:extLst>
        </xdr:cNvPr>
        <xdr:cNvSpPr txBox="1"/>
      </xdr:nvSpPr>
      <xdr:spPr>
        <a:xfrm>
          <a:off x="6421783" y="9845261"/>
          <a:ext cx="679353"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100"/>
            <a:t>Laptop Z</a:t>
          </a:r>
        </a:p>
        <a:p>
          <a:pPr algn="l"/>
          <a:r>
            <a:rPr lang="en-IN" sz="1100"/>
            <a:t>Sofa E</a:t>
          </a:r>
        </a:p>
        <a:p>
          <a:pPr algn="l"/>
          <a:r>
            <a:rPr lang="en-IN" sz="1100"/>
            <a:t>Dress K</a:t>
          </a:r>
        </a:p>
        <a:p>
          <a:pPr algn="l"/>
          <a:r>
            <a:rPr lang="en-IN" sz="1100"/>
            <a:t>Shoes L</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19</xdr:row>
      <xdr:rowOff>27214</xdr:rowOff>
    </xdr:from>
    <xdr:to>
      <xdr:col>17</xdr:col>
      <xdr:colOff>0</xdr:colOff>
      <xdr:row>30</xdr:row>
      <xdr:rowOff>0</xdr:rowOff>
    </xdr:to>
    <xdr:sp macro="" textlink="">
      <xdr:nvSpPr>
        <xdr:cNvPr id="25" name="Rectangle 24">
          <a:extLst>
            <a:ext uri="{FF2B5EF4-FFF2-40B4-BE49-F238E27FC236}">
              <a16:creationId xmlns:a16="http://schemas.microsoft.com/office/drawing/2014/main" id="{A5D723BF-5500-4FCD-8DC2-0D752C787316}"/>
            </a:ext>
          </a:extLst>
        </xdr:cNvPr>
        <xdr:cNvSpPr/>
      </xdr:nvSpPr>
      <xdr:spPr>
        <a:xfrm>
          <a:off x="2431143" y="3474357"/>
          <a:ext cx="10776857" cy="1968500"/>
        </a:xfrm>
        <a:prstGeom prst="rect">
          <a:avLst/>
        </a:prstGeom>
        <a:gradFill flip="none" rotWithShape="1">
          <a:gsLst>
            <a:gs pos="78000">
              <a:schemeClr val="bg1">
                <a:lumMod val="85000"/>
                <a:alpha val="99000"/>
              </a:schemeClr>
            </a:gs>
            <a:gs pos="62000">
              <a:schemeClr val="accent1">
                <a:lumMod val="60000"/>
                <a:lumOff val="40000"/>
              </a:schemeClr>
            </a:gs>
            <a:gs pos="1124">
              <a:schemeClr val="accent1">
                <a:lumMod val="50000"/>
              </a:schemeClr>
            </a:gs>
            <a:gs pos="24000">
              <a:schemeClr val="accent1">
                <a:lumMod val="75000"/>
              </a:schemeClr>
            </a:gs>
            <a:gs pos="100000">
              <a:srgbClr val="F2F2F2"/>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xdr:row>
      <xdr:rowOff>9072</xdr:rowOff>
    </xdr:from>
    <xdr:to>
      <xdr:col>12</xdr:col>
      <xdr:colOff>0</xdr:colOff>
      <xdr:row>19</xdr:row>
      <xdr:rowOff>9073</xdr:rowOff>
    </xdr:to>
    <xdr:sp macro="" textlink="">
      <xdr:nvSpPr>
        <xdr:cNvPr id="24" name="Rectangle 23">
          <a:extLst>
            <a:ext uri="{FF2B5EF4-FFF2-40B4-BE49-F238E27FC236}">
              <a16:creationId xmlns:a16="http://schemas.microsoft.com/office/drawing/2014/main" id="{6C7021E2-4517-424F-8479-4E94FAFC83D9}"/>
            </a:ext>
          </a:extLst>
        </xdr:cNvPr>
        <xdr:cNvSpPr/>
      </xdr:nvSpPr>
      <xdr:spPr>
        <a:xfrm>
          <a:off x="2431143" y="190501"/>
          <a:ext cx="5760357" cy="3265715"/>
        </a:xfrm>
        <a:prstGeom prst="rect">
          <a:avLst/>
        </a:prstGeom>
        <a:gradFill flip="none" rotWithShape="1">
          <a:gsLst>
            <a:gs pos="78000">
              <a:schemeClr val="bg1">
                <a:lumMod val="85000"/>
              </a:schemeClr>
            </a:gs>
            <a:gs pos="58000">
              <a:schemeClr val="accent1">
                <a:lumMod val="60000"/>
                <a:lumOff val="40000"/>
              </a:schemeClr>
            </a:gs>
            <a:gs pos="1124">
              <a:schemeClr val="accent1">
                <a:lumMod val="50000"/>
              </a:schemeClr>
            </a:gs>
            <a:gs pos="26000">
              <a:schemeClr val="accent1">
                <a:lumMod val="75000"/>
              </a:schemeClr>
            </a:gs>
            <a:gs pos="100000">
              <a:schemeClr val="bg1">
                <a:lumMod val="95000"/>
              </a:schemeClr>
            </a:gs>
          </a:gsLst>
          <a:path path="circle">
            <a:fillToRect l="100000" t="100000"/>
          </a:path>
          <a:tileRect r="-100000" b="-100000"/>
        </a:gradFill>
        <a:ln>
          <a:noFill/>
        </a:ln>
        <a:effectLst>
          <a:softEdge rad="1270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12700</xdr:colOff>
      <xdr:row>1</xdr:row>
      <xdr:rowOff>7937</xdr:rowOff>
    </xdr:from>
    <xdr:to>
      <xdr:col>4</xdr:col>
      <xdr:colOff>111125</xdr:colOff>
      <xdr:row>30</xdr:row>
      <xdr:rowOff>0</xdr:rowOff>
    </xdr:to>
    <xdr:sp macro="" textlink="">
      <xdr:nvSpPr>
        <xdr:cNvPr id="2" name="Rectangle 1">
          <a:extLst>
            <a:ext uri="{FF2B5EF4-FFF2-40B4-BE49-F238E27FC236}">
              <a16:creationId xmlns:a16="http://schemas.microsoft.com/office/drawing/2014/main" id="{1B794F16-88D6-4AC1-AB11-61A1DAFE9C03}"/>
            </a:ext>
          </a:extLst>
        </xdr:cNvPr>
        <xdr:cNvSpPr/>
      </xdr:nvSpPr>
      <xdr:spPr>
        <a:xfrm>
          <a:off x="623888" y="190500"/>
          <a:ext cx="1931987" cy="5103813"/>
        </a:xfrm>
        <a:prstGeom prst="rect">
          <a:avLst/>
        </a:prstGeom>
        <a:gradFill flip="none" rotWithShape="1">
          <a:gsLst>
            <a:gs pos="78000">
              <a:schemeClr val="accent1">
                <a:lumMod val="40000"/>
                <a:lumOff val="60000"/>
              </a:schemeClr>
            </a:gs>
            <a:gs pos="58000">
              <a:schemeClr val="accent1">
                <a:lumMod val="60000"/>
                <a:lumOff val="40000"/>
              </a:schemeClr>
            </a:gs>
            <a:gs pos="1124">
              <a:schemeClr val="accent1">
                <a:lumMod val="50000"/>
              </a:schemeClr>
            </a:gs>
            <a:gs pos="38000">
              <a:schemeClr val="accent1">
                <a:lumMod val="75000"/>
              </a:schemeClr>
            </a:gs>
            <a:gs pos="100000">
              <a:schemeClr val="accent1">
                <a:lumMod val="40000"/>
                <a:lumOff val="60000"/>
              </a:schemeClr>
            </a:gs>
          </a:gsLst>
          <a:lin ang="16200000" scaled="1"/>
          <a:tileRect/>
        </a:gra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1"/>
              </a:solidFill>
              <a:latin typeface="Arial Black" panose="020B0A04020102020204" pitchFamily="34" charset="0"/>
            </a:rPr>
            <a:t>Inventa</a:t>
          </a:r>
          <a:r>
            <a:rPr lang="en-IN" sz="2800">
              <a:solidFill>
                <a:schemeClr val="accent1">
                  <a:lumMod val="50000"/>
                </a:schemeClr>
              </a:solidFill>
              <a:latin typeface="Arial Black" panose="020B0A04020102020204" pitchFamily="34" charset="0"/>
            </a:rPr>
            <a:t>X</a:t>
          </a:r>
          <a:r>
            <a:rPr lang="en-IN" sz="1100">
              <a:solidFill>
                <a:schemeClr val="accent1">
                  <a:lumMod val="75000"/>
                </a:schemeClr>
              </a:solidFill>
            </a:rPr>
            <a:t> </a:t>
          </a:r>
        </a:p>
        <a:p>
          <a:pPr algn="ctr"/>
          <a:endParaRPr lang="en-IN" sz="1800" u="none">
            <a:solidFill>
              <a:schemeClr val="tx1"/>
            </a:solidFill>
          </a:endParaRPr>
        </a:p>
      </xdr:txBody>
    </xdr:sp>
    <xdr:clientData/>
  </xdr:twoCellAnchor>
  <xdr:twoCellAnchor>
    <xdr:from>
      <xdr:col>4</xdr:col>
      <xdr:colOff>189971</xdr:colOff>
      <xdr:row>19</xdr:row>
      <xdr:rowOff>134938</xdr:rowOff>
    </xdr:from>
    <xdr:to>
      <xdr:col>9</xdr:col>
      <xdr:colOff>39688</xdr:colOff>
      <xdr:row>30</xdr:row>
      <xdr:rowOff>0</xdr:rowOff>
    </xdr:to>
    <xdr:grpSp>
      <xdr:nvGrpSpPr>
        <xdr:cNvPr id="11" name="Group 10">
          <a:extLst>
            <a:ext uri="{FF2B5EF4-FFF2-40B4-BE49-F238E27FC236}">
              <a16:creationId xmlns:a16="http://schemas.microsoft.com/office/drawing/2014/main" id="{A91183DC-8DFF-44A2-B8C7-F1B16CAF9A0B}"/>
            </a:ext>
          </a:extLst>
        </xdr:cNvPr>
        <xdr:cNvGrpSpPr/>
      </xdr:nvGrpSpPr>
      <xdr:grpSpPr>
        <a:xfrm>
          <a:off x="2621114" y="3582081"/>
          <a:ext cx="3169860" cy="1860776"/>
          <a:chOff x="2634721" y="3608914"/>
          <a:chExt cx="3183467" cy="1685399"/>
        </a:xfrm>
      </xdr:grpSpPr>
      <xdr:graphicFrame macro="">
        <xdr:nvGraphicFramePr>
          <xdr:cNvPr id="56" name="Chart 55">
            <a:extLst>
              <a:ext uri="{FF2B5EF4-FFF2-40B4-BE49-F238E27FC236}">
                <a16:creationId xmlns:a16="http://schemas.microsoft.com/office/drawing/2014/main" id="{F56DA97B-C541-4378-B930-F5FDEB33B1D2}"/>
              </a:ext>
            </a:extLst>
          </xdr:cNvPr>
          <xdr:cNvGraphicFramePr>
            <a:graphicFrameLocks/>
          </xdr:cNvGraphicFramePr>
        </xdr:nvGraphicFramePr>
        <xdr:xfrm>
          <a:off x="2634721" y="3608914"/>
          <a:ext cx="3183467" cy="168539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8" name="TextBox 57">
            <a:extLst>
              <a:ext uri="{FF2B5EF4-FFF2-40B4-BE49-F238E27FC236}">
                <a16:creationId xmlns:a16="http://schemas.microsoft.com/office/drawing/2014/main" id="{90C6E037-4DBA-46F1-B02B-100488D2EE86}"/>
              </a:ext>
            </a:extLst>
          </xdr:cNvPr>
          <xdr:cNvSpPr txBox="1"/>
        </xdr:nvSpPr>
        <xdr:spPr>
          <a:xfrm>
            <a:off x="3497086" y="3619501"/>
            <a:ext cx="1543227" cy="296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latin typeface="Segoe UI Black" panose="020B0A02040204020203" pitchFamily="34" charset="0"/>
                <a:ea typeface="Segoe UI Black" panose="020B0A02040204020203" pitchFamily="34" charset="0"/>
              </a:rPr>
              <a:t>Sales by Category</a:t>
            </a:r>
          </a:p>
        </xdr:txBody>
      </xdr:sp>
    </xdr:grpSp>
    <xdr:clientData/>
  </xdr:twoCellAnchor>
  <xdr:twoCellAnchor>
    <xdr:from>
      <xdr:col>9</xdr:col>
      <xdr:colOff>136524</xdr:colOff>
      <xdr:row>19</xdr:row>
      <xdr:rowOff>150813</xdr:rowOff>
    </xdr:from>
    <xdr:to>
      <xdr:col>13</xdr:col>
      <xdr:colOff>239713</xdr:colOff>
      <xdr:row>30</xdr:row>
      <xdr:rowOff>7938</xdr:rowOff>
    </xdr:to>
    <xdr:grpSp>
      <xdr:nvGrpSpPr>
        <xdr:cNvPr id="9" name="Group 8">
          <a:extLst>
            <a:ext uri="{FF2B5EF4-FFF2-40B4-BE49-F238E27FC236}">
              <a16:creationId xmlns:a16="http://schemas.microsoft.com/office/drawing/2014/main" id="{8FE7B300-23B4-4C1E-9ADE-6C12E41C1F3B}"/>
            </a:ext>
          </a:extLst>
        </xdr:cNvPr>
        <xdr:cNvGrpSpPr/>
      </xdr:nvGrpSpPr>
      <xdr:grpSpPr>
        <a:xfrm>
          <a:off x="5887810" y="3597956"/>
          <a:ext cx="3650117" cy="1852839"/>
          <a:chOff x="5915024" y="3621089"/>
          <a:chExt cx="3651252" cy="1681162"/>
        </a:xfrm>
      </xdr:grpSpPr>
      <xdr:graphicFrame macro="">
        <xdr:nvGraphicFramePr>
          <xdr:cNvPr id="59" name="Chart 58">
            <a:extLst>
              <a:ext uri="{FF2B5EF4-FFF2-40B4-BE49-F238E27FC236}">
                <a16:creationId xmlns:a16="http://schemas.microsoft.com/office/drawing/2014/main" id="{6B65A633-C82A-44AB-88AD-E47E3890CF70}"/>
              </a:ext>
            </a:extLst>
          </xdr:cNvPr>
          <xdr:cNvGraphicFramePr>
            <a:graphicFrameLocks/>
          </xdr:cNvGraphicFramePr>
        </xdr:nvGraphicFramePr>
        <xdr:xfrm>
          <a:off x="5915024" y="3627438"/>
          <a:ext cx="3634318" cy="167481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7" name="TextBox 26">
            <a:extLst>
              <a:ext uri="{FF2B5EF4-FFF2-40B4-BE49-F238E27FC236}">
                <a16:creationId xmlns:a16="http://schemas.microsoft.com/office/drawing/2014/main" id="{76F1048E-E8C9-4BA0-ABB3-5A40156113A2}"/>
              </a:ext>
            </a:extLst>
          </xdr:cNvPr>
          <xdr:cNvSpPr txBox="1"/>
        </xdr:nvSpPr>
        <xdr:spPr>
          <a:xfrm>
            <a:off x="8094486" y="3621089"/>
            <a:ext cx="1471790" cy="2960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latin typeface="Segoe UI Black" panose="020B0A02040204020203" pitchFamily="34" charset="0"/>
                <a:ea typeface="Segoe UI Black" panose="020B0A02040204020203" pitchFamily="34" charset="0"/>
              </a:rPr>
              <a:t>Sales by Regions</a:t>
            </a:r>
          </a:p>
        </xdr:txBody>
      </xdr:sp>
    </xdr:grpSp>
    <xdr:clientData/>
  </xdr:twoCellAnchor>
  <xdr:twoCellAnchor>
    <xdr:from>
      <xdr:col>13</xdr:col>
      <xdr:colOff>357188</xdr:colOff>
      <xdr:row>20</xdr:row>
      <xdr:rowOff>150812</xdr:rowOff>
    </xdr:from>
    <xdr:to>
      <xdr:col>17</xdr:col>
      <xdr:colOff>1</xdr:colOff>
      <xdr:row>29</xdr:row>
      <xdr:rowOff>174625</xdr:rowOff>
    </xdr:to>
    <xdr:grpSp>
      <xdr:nvGrpSpPr>
        <xdr:cNvPr id="10" name="Group 9">
          <a:extLst>
            <a:ext uri="{FF2B5EF4-FFF2-40B4-BE49-F238E27FC236}">
              <a16:creationId xmlns:a16="http://schemas.microsoft.com/office/drawing/2014/main" id="{BD8EF407-0A54-4EE8-9D97-6A530357D33C}"/>
            </a:ext>
          </a:extLst>
        </xdr:cNvPr>
        <xdr:cNvGrpSpPr/>
      </xdr:nvGrpSpPr>
      <xdr:grpSpPr>
        <a:xfrm>
          <a:off x="9655402" y="3779383"/>
          <a:ext cx="3552598" cy="1656671"/>
          <a:chOff x="9683751" y="3619500"/>
          <a:chExt cx="3651250" cy="1666875"/>
        </a:xfrm>
      </xdr:grpSpPr>
      <xdr:graphicFrame macro="">
        <xdr:nvGraphicFramePr>
          <xdr:cNvPr id="28" name="Chart 27">
            <a:extLst>
              <a:ext uri="{FF2B5EF4-FFF2-40B4-BE49-F238E27FC236}">
                <a16:creationId xmlns:a16="http://schemas.microsoft.com/office/drawing/2014/main" id="{47957130-6ACF-4A83-939A-EB958A75D15B}"/>
              </a:ext>
            </a:extLst>
          </xdr:cNvPr>
          <xdr:cNvGraphicFramePr>
            <a:graphicFrameLocks/>
          </xdr:cNvGraphicFramePr>
        </xdr:nvGraphicFramePr>
        <xdr:xfrm>
          <a:off x="9683751" y="3619500"/>
          <a:ext cx="3651250" cy="166687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9" name="TextBox 28">
            <a:extLst>
              <a:ext uri="{FF2B5EF4-FFF2-40B4-BE49-F238E27FC236}">
                <a16:creationId xmlns:a16="http://schemas.microsoft.com/office/drawing/2014/main" id="{42F1B0FA-C60A-45FA-A8D1-72F462A3F89E}"/>
              </a:ext>
            </a:extLst>
          </xdr:cNvPr>
          <xdr:cNvSpPr txBox="1"/>
        </xdr:nvSpPr>
        <xdr:spPr>
          <a:xfrm>
            <a:off x="9747074" y="3670301"/>
            <a:ext cx="1551164" cy="512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latin typeface="Segoe UI Black" panose="020B0A02040204020203" pitchFamily="34" charset="0"/>
                <a:ea typeface="Segoe UI Black" panose="020B0A02040204020203" pitchFamily="34" charset="0"/>
              </a:rPr>
              <a:t>Top 05 Profitable</a:t>
            </a:r>
          </a:p>
          <a:p>
            <a:r>
              <a:rPr lang="en-IN" sz="1100">
                <a:solidFill>
                  <a:schemeClr val="bg1"/>
                </a:solidFill>
                <a:latin typeface="Segoe UI Black" panose="020B0A02040204020203" pitchFamily="34" charset="0"/>
                <a:ea typeface="Segoe UI Black" panose="020B0A02040204020203" pitchFamily="34" charset="0"/>
              </a:rPr>
              <a:t>Products</a:t>
            </a:r>
          </a:p>
        </xdr:txBody>
      </xdr:sp>
    </xdr:grpSp>
    <xdr:clientData/>
  </xdr:twoCellAnchor>
  <xdr:twoCellAnchor>
    <xdr:from>
      <xdr:col>4</xdr:col>
      <xdr:colOff>198437</xdr:colOff>
      <xdr:row>1</xdr:row>
      <xdr:rowOff>41803</xdr:rowOff>
    </xdr:from>
    <xdr:to>
      <xdr:col>12</xdr:col>
      <xdr:colOff>14795</xdr:colOff>
      <xdr:row>19</xdr:row>
      <xdr:rowOff>68444</xdr:rowOff>
    </xdr:to>
    <xdr:grpSp>
      <xdr:nvGrpSpPr>
        <xdr:cNvPr id="20" name="Group 19">
          <a:extLst>
            <a:ext uri="{FF2B5EF4-FFF2-40B4-BE49-F238E27FC236}">
              <a16:creationId xmlns:a16="http://schemas.microsoft.com/office/drawing/2014/main" id="{2BDA1DF7-70CA-4A56-8A72-7BBC830D3CA3}"/>
            </a:ext>
          </a:extLst>
        </xdr:cNvPr>
        <xdr:cNvGrpSpPr/>
      </xdr:nvGrpSpPr>
      <xdr:grpSpPr>
        <a:xfrm>
          <a:off x="2629580" y="223232"/>
          <a:ext cx="5576715" cy="3292355"/>
          <a:chOff x="2643187" y="354013"/>
          <a:chExt cx="5594858" cy="3130203"/>
        </a:xfrm>
      </xdr:grpSpPr>
      <xdr:grpSp>
        <xdr:nvGrpSpPr>
          <xdr:cNvPr id="38" name="Group 37">
            <a:extLst>
              <a:ext uri="{FF2B5EF4-FFF2-40B4-BE49-F238E27FC236}">
                <a16:creationId xmlns:a16="http://schemas.microsoft.com/office/drawing/2014/main" id="{CEFA6267-F82B-4884-8873-931CC27AD88E}"/>
              </a:ext>
            </a:extLst>
          </xdr:cNvPr>
          <xdr:cNvGrpSpPr/>
        </xdr:nvGrpSpPr>
        <xdr:grpSpPr>
          <a:xfrm>
            <a:off x="2656874" y="390525"/>
            <a:ext cx="1558910" cy="636588"/>
            <a:chOff x="2571147" y="457200"/>
            <a:chExt cx="1425328" cy="641350"/>
          </a:xfrm>
          <a:effectLst>
            <a:outerShdw blurRad="50800" dist="38100" dir="2700000" algn="tl" rotWithShape="0">
              <a:prstClr val="black">
                <a:alpha val="40000"/>
              </a:prstClr>
            </a:outerShdw>
          </a:effectLst>
        </xdr:grpSpPr>
        <xdr:sp macro="" textlink="$R$5">
          <xdr:nvSpPr>
            <xdr:cNvPr id="3" name="Rectangle: Rounded Corners 2">
              <a:extLst>
                <a:ext uri="{FF2B5EF4-FFF2-40B4-BE49-F238E27FC236}">
                  <a16:creationId xmlns:a16="http://schemas.microsoft.com/office/drawing/2014/main" id="{D808B593-8482-4DA8-85A1-5CE247CBB665}"/>
                </a:ext>
              </a:extLst>
            </xdr:cNvPr>
            <xdr:cNvSpPr/>
          </xdr:nvSpPr>
          <xdr:spPr>
            <a:xfrm>
              <a:off x="2571147" y="457200"/>
              <a:ext cx="1404557" cy="641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1400" b="1" i="0" u="none" strike="noStrike">
                  <a:solidFill>
                    <a:schemeClr val="bg1"/>
                  </a:solidFill>
                  <a:latin typeface="Segoe UI Black" panose="020B0A02040204020203" pitchFamily="34" charset="0"/>
                  <a:ea typeface="Segoe UI Black" panose="020B0A02040204020203" pitchFamily="34" charset="0"/>
                  <a:cs typeface="Calibri"/>
                </a:rPr>
                <a:t> </a:t>
              </a:r>
              <a:fld id="{C4E9846D-E689-4991-9C68-F5125C9AC5BF}" type="TxLink">
                <a:rPr lang="en-US" sz="1400" b="1" i="0" u="none" strike="noStrike">
                  <a:solidFill>
                    <a:schemeClr val="bg1"/>
                  </a:solidFill>
                  <a:latin typeface="Segoe UI Black" panose="020B0A02040204020203" pitchFamily="34" charset="0"/>
                  <a:ea typeface="Segoe UI Black" panose="020B0A02040204020203" pitchFamily="34" charset="0"/>
                  <a:cs typeface="Calibri"/>
                </a:rPr>
                <a:pPr algn="l"/>
                <a:t> ₹ 1,122,048.0 </a:t>
              </a:fld>
              <a:endParaRPr lang="en-US" sz="1800" b="1">
                <a:solidFill>
                  <a:schemeClr val="bg1"/>
                </a:solidFill>
                <a:latin typeface="Segoe UI Black" panose="020B0A02040204020203" pitchFamily="34" charset="0"/>
                <a:ea typeface="Segoe UI Black" panose="020B0A02040204020203" pitchFamily="34" charset="0"/>
                <a:cs typeface="Times New Roman" panose="02020603050405020304" pitchFamily="18" charset="0"/>
              </a:endParaRPr>
            </a:p>
          </xdr:txBody>
        </xdr:sp>
        <xdr:sp macro="" textlink="">
          <xdr:nvSpPr>
            <xdr:cNvPr id="35" name="TextBox 34">
              <a:extLst>
                <a:ext uri="{FF2B5EF4-FFF2-40B4-BE49-F238E27FC236}">
                  <a16:creationId xmlns:a16="http://schemas.microsoft.com/office/drawing/2014/main" id="{8634F0F1-8285-4EFB-A0FC-9718EDFE5693}"/>
                </a:ext>
              </a:extLst>
            </xdr:cNvPr>
            <xdr:cNvSpPr txBox="1"/>
          </xdr:nvSpPr>
          <xdr:spPr>
            <a:xfrm>
              <a:off x="3208567" y="519290"/>
              <a:ext cx="7879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i="0">
                  <a:solidFill>
                    <a:schemeClr val="bg1"/>
                  </a:solidFill>
                  <a:latin typeface="+mj-lt"/>
                </a:rPr>
                <a:t>Total Sales</a:t>
              </a:r>
            </a:p>
          </xdr:txBody>
        </xdr:sp>
      </xdr:grpSp>
      <xdr:grpSp>
        <xdr:nvGrpSpPr>
          <xdr:cNvPr id="39" name="Group 38">
            <a:extLst>
              <a:ext uri="{FF2B5EF4-FFF2-40B4-BE49-F238E27FC236}">
                <a16:creationId xmlns:a16="http://schemas.microsoft.com/office/drawing/2014/main" id="{3E197983-25DD-4B18-ADA3-CF332CFD5576}"/>
              </a:ext>
            </a:extLst>
          </xdr:cNvPr>
          <xdr:cNvGrpSpPr/>
        </xdr:nvGrpSpPr>
        <xdr:grpSpPr>
          <a:xfrm>
            <a:off x="4325938" y="381000"/>
            <a:ext cx="1553705" cy="635000"/>
            <a:chOff x="2564124" y="457200"/>
            <a:chExt cx="1434307" cy="641350"/>
          </a:xfrm>
          <a:effectLst>
            <a:outerShdw blurRad="50800" dist="38100" dir="2700000" algn="tl" rotWithShape="0">
              <a:prstClr val="black">
                <a:alpha val="40000"/>
              </a:prstClr>
            </a:outerShdw>
          </a:effectLst>
        </xdr:grpSpPr>
        <xdr:sp macro="" textlink="$R$9">
          <xdr:nvSpPr>
            <xdr:cNvPr id="40" name="Rectangle: Rounded Corners 39">
              <a:extLst>
                <a:ext uri="{FF2B5EF4-FFF2-40B4-BE49-F238E27FC236}">
                  <a16:creationId xmlns:a16="http://schemas.microsoft.com/office/drawing/2014/main" id="{DA3234A2-25C2-4566-8EC1-FC8D6E5F0EF9}"/>
                </a:ext>
              </a:extLst>
            </xdr:cNvPr>
            <xdr:cNvSpPr/>
          </xdr:nvSpPr>
          <xdr:spPr>
            <a:xfrm>
              <a:off x="2564124" y="457200"/>
              <a:ext cx="1418603" cy="641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1400" b="1" i="0" u="none" strike="noStrike">
                  <a:solidFill>
                    <a:schemeClr val="bg1"/>
                  </a:solidFill>
                  <a:latin typeface="Segoe UI Black" panose="020B0A02040204020203" pitchFamily="34" charset="0"/>
                  <a:ea typeface="Segoe UI Black" panose="020B0A02040204020203" pitchFamily="34" charset="0"/>
                  <a:cs typeface="Calibri"/>
                </a:rPr>
                <a:t>  </a:t>
              </a:r>
              <a:fld id="{48CCE038-5510-45DA-B31C-445CD6856F8C}" type="TxLink">
                <a:rPr lang="en-US" sz="1400" b="1" i="0" u="none" strike="noStrike">
                  <a:solidFill>
                    <a:schemeClr val="bg1"/>
                  </a:solidFill>
                  <a:latin typeface="Segoe UI Black" panose="020B0A02040204020203" pitchFamily="34" charset="0"/>
                  <a:ea typeface="Segoe UI Black" panose="020B0A02040204020203" pitchFamily="34" charset="0"/>
                  <a:cs typeface="Calibri"/>
                </a:rPr>
                <a:pPr algn="l"/>
                <a:t> ₹ 335,903.40 </a:t>
              </a:fld>
              <a:endParaRPr lang="en-US" sz="1400" b="1">
                <a:solidFill>
                  <a:schemeClr val="bg1"/>
                </a:solidFill>
                <a:latin typeface="Segoe UI Black" panose="020B0A02040204020203" pitchFamily="34" charset="0"/>
                <a:ea typeface="Segoe UI Black" panose="020B0A02040204020203" pitchFamily="34" charset="0"/>
              </a:endParaRPr>
            </a:p>
          </xdr:txBody>
        </xdr:sp>
        <xdr:sp macro="" textlink="">
          <xdr:nvSpPr>
            <xdr:cNvPr id="41" name="TextBox 40">
              <a:extLst>
                <a:ext uri="{FF2B5EF4-FFF2-40B4-BE49-F238E27FC236}">
                  <a16:creationId xmlns:a16="http://schemas.microsoft.com/office/drawing/2014/main" id="{F3326F22-6160-473F-A5E0-892171C02167}"/>
                </a:ext>
              </a:extLst>
            </xdr:cNvPr>
            <xdr:cNvSpPr txBox="1"/>
          </xdr:nvSpPr>
          <xdr:spPr>
            <a:xfrm>
              <a:off x="3182823" y="526042"/>
              <a:ext cx="815608" cy="2645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i="0">
                  <a:solidFill>
                    <a:schemeClr val="bg1"/>
                  </a:solidFill>
                  <a:latin typeface="+mj-lt"/>
                </a:rPr>
                <a:t>Total Profit</a:t>
              </a:r>
            </a:p>
          </xdr:txBody>
        </xdr:sp>
      </xdr:grpSp>
      <xdr:grpSp>
        <xdr:nvGrpSpPr>
          <xdr:cNvPr id="42" name="Group 41">
            <a:extLst>
              <a:ext uri="{FF2B5EF4-FFF2-40B4-BE49-F238E27FC236}">
                <a16:creationId xmlns:a16="http://schemas.microsoft.com/office/drawing/2014/main" id="{579B7831-033B-4189-B4E7-12F2F05F4D64}"/>
              </a:ext>
            </a:extLst>
          </xdr:cNvPr>
          <xdr:cNvGrpSpPr/>
        </xdr:nvGrpSpPr>
        <xdr:grpSpPr>
          <a:xfrm>
            <a:off x="2664810" y="1090613"/>
            <a:ext cx="1536192" cy="636589"/>
            <a:chOff x="2571146" y="457200"/>
            <a:chExt cx="1559901" cy="641350"/>
          </a:xfrm>
          <a:effectLst>
            <a:outerShdw blurRad="50800" dist="38100" dir="2700000" algn="tl" rotWithShape="0">
              <a:prstClr val="black">
                <a:alpha val="40000"/>
              </a:prstClr>
            </a:outerShdw>
          </a:effectLst>
        </xdr:grpSpPr>
        <xdr:sp macro="" textlink="$R$12">
          <xdr:nvSpPr>
            <xdr:cNvPr id="43" name="Rectangle: Rounded Corners 42">
              <a:extLst>
                <a:ext uri="{FF2B5EF4-FFF2-40B4-BE49-F238E27FC236}">
                  <a16:creationId xmlns:a16="http://schemas.microsoft.com/office/drawing/2014/main" id="{0008E362-91EF-4C8E-BA1D-A3AE4107C87D}"/>
                </a:ext>
              </a:extLst>
            </xdr:cNvPr>
            <xdr:cNvSpPr/>
          </xdr:nvSpPr>
          <xdr:spPr>
            <a:xfrm>
              <a:off x="2571146" y="457200"/>
              <a:ext cx="1559901" cy="641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1400" b="1" i="0" u="none" strike="noStrike">
                  <a:solidFill>
                    <a:schemeClr val="bg1"/>
                  </a:solidFill>
                  <a:latin typeface="Segoe UI Black" panose="020B0A02040204020203" pitchFamily="34" charset="0"/>
                  <a:ea typeface="Segoe UI Black" panose="020B0A02040204020203" pitchFamily="34" charset="0"/>
                  <a:cs typeface="Calibri"/>
                </a:rPr>
                <a:t>               </a:t>
              </a:r>
              <a:fld id="{CFE799F7-A297-48A5-A479-5D80CDAB4869}" type="TxLink">
                <a:rPr lang="en-US" sz="1400" b="1" i="0" u="none" strike="noStrike">
                  <a:solidFill>
                    <a:schemeClr val="bg1"/>
                  </a:solidFill>
                  <a:latin typeface="Segoe UI Black" panose="020B0A02040204020203" pitchFamily="34" charset="0"/>
                  <a:ea typeface="Segoe UI Black" panose="020B0A02040204020203" pitchFamily="34" charset="0"/>
                  <a:cs typeface="Calibri"/>
                </a:rPr>
                <a:pPr algn="l"/>
                <a:t> 7,102 </a:t>
              </a:fld>
              <a:endParaRPr lang="en-US" sz="1400" b="1">
                <a:solidFill>
                  <a:schemeClr val="bg1"/>
                </a:solidFill>
                <a:latin typeface="Segoe UI Black" panose="020B0A02040204020203" pitchFamily="34" charset="0"/>
                <a:ea typeface="Segoe UI Black" panose="020B0A02040204020203" pitchFamily="34" charset="0"/>
              </a:endParaRPr>
            </a:p>
          </xdr:txBody>
        </xdr:sp>
        <xdr:sp macro="" textlink="">
          <xdr:nvSpPr>
            <xdr:cNvPr id="44" name="TextBox 43">
              <a:extLst>
                <a:ext uri="{FF2B5EF4-FFF2-40B4-BE49-F238E27FC236}">
                  <a16:creationId xmlns:a16="http://schemas.microsoft.com/office/drawing/2014/main" id="{E77311D9-AEAE-4989-9FBB-C99F033F8D9E}"/>
                </a:ext>
              </a:extLst>
            </xdr:cNvPr>
            <xdr:cNvSpPr txBox="1"/>
          </xdr:nvSpPr>
          <xdr:spPr>
            <a:xfrm>
              <a:off x="2968629" y="492006"/>
              <a:ext cx="11442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i="0">
                  <a:solidFill>
                    <a:schemeClr val="bg1"/>
                  </a:solidFill>
                  <a:latin typeface="+mj-lt"/>
                </a:rPr>
                <a:t>Total Units</a:t>
              </a:r>
              <a:r>
                <a:rPr lang="en-IN" sz="1100" i="0" baseline="0">
                  <a:solidFill>
                    <a:schemeClr val="bg1"/>
                  </a:solidFill>
                  <a:latin typeface="+mj-lt"/>
                </a:rPr>
                <a:t> Sold</a:t>
              </a:r>
              <a:endParaRPr lang="en-IN" sz="1100" i="0">
                <a:solidFill>
                  <a:schemeClr val="bg1"/>
                </a:solidFill>
                <a:latin typeface="+mj-lt"/>
              </a:endParaRPr>
            </a:p>
          </xdr:txBody>
        </xdr:sp>
      </xdr:grpSp>
      <xdr:grpSp>
        <xdr:nvGrpSpPr>
          <xdr:cNvPr id="48" name="Group 47">
            <a:extLst>
              <a:ext uri="{FF2B5EF4-FFF2-40B4-BE49-F238E27FC236}">
                <a16:creationId xmlns:a16="http://schemas.microsoft.com/office/drawing/2014/main" id="{42819B04-BBAA-4EE2-802F-04FB3027A06A}"/>
              </a:ext>
            </a:extLst>
          </xdr:cNvPr>
          <xdr:cNvGrpSpPr/>
        </xdr:nvGrpSpPr>
        <xdr:grpSpPr>
          <a:xfrm>
            <a:off x="4349750" y="1098549"/>
            <a:ext cx="1634340" cy="636588"/>
            <a:chOff x="2571147" y="457200"/>
            <a:chExt cx="1497420" cy="641350"/>
          </a:xfrm>
          <a:effectLst>
            <a:outerShdw blurRad="50800" dist="38100" dir="2700000" algn="tl" rotWithShape="0">
              <a:prstClr val="black">
                <a:alpha val="40000"/>
              </a:prstClr>
            </a:outerShdw>
          </a:effectLst>
        </xdr:grpSpPr>
        <xdr:sp macro="" textlink="$R$18">
          <xdr:nvSpPr>
            <xdr:cNvPr id="49" name="Rectangle: Rounded Corners 48">
              <a:extLst>
                <a:ext uri="{FF2B5EF4-FFF2-40B4-BE49-F238E27FC236}">
                  <a16:creationId xmlns:a16="http://schemas.microsoft.com/office/drawing/2014/main" id="{7D620F56-FDF1-4752-9F39-559FE0681778}"/>
                </a:ext>
              </a:extLst>
            </xdr:cNvPr>
            <xdr:cNvSpPr/>
          </xdr:nvSpPr>
          <xdr:spPr>
            <a:xfrm>
              <a:off x="2571147" y="457200"/>
              <a:ext cx="1404557" cy="641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1400" b="1" i="0" u="none" strike="noStrike">
                  <a:solidFill>
                    <a:schemeClr val="bg1"/>
                  </a:solidFill>
                  <a:latin typeface="Segoe UI Black" panose="020B0A02040204020203" pitchFamily="34" charset="0"/>
                  <a:ea typeface="Segoe UI Black" panose="020B0A02040204020203" pitchFamily="34" charset="0"/>
                  <a:cs typeface="Calibri"/>
                </a:rPr>
                <a:t>    </a:t>
              </a:r>
              <a:r>
                <a:rPr lang="en-US" sz="1400" b="1" i="0" u="none" strike="noStrike" baseline="0">
                  <a:solidFill>
                    <a:schemeClr val="bg1"/>
                  </a:solidFill>
                  <a:latin typeface="Segoe UI Black" panose="020B0A02040204020203" pitchFamily="34" charset="0"/>
                  <a:ea typeface="Segoe UI Black" panose="020B0A02040204020203" pitchFamily="34" charset="0"/>
                  <a:cs typeface="Calibri"/>
                </a:rPr>
                <a:t>             </a:t>
              </a:r>
              <a:fld id="{436BDF54-49B3-4B93-B272-159CF8699ED7}" type="TxLink">
                <a:rPr lang="en-US" sz="1400" b="1" i="0" u="none" strike="noStrike">
                  <a:solidFill>
                    <a:schemeClr val="bg1"/>
                  </a:solidFill>
                  <a:latin typeface="Segoe UI Black" panose="020B0A02040204020203" pitchFamily="34" charset="0"/>
                  <a:ea typeface="Segoe UI Black" panose="020B0A02040204020203" pitchFamily="34" charset="0"/>
                  <a:cs typeface="Calibri"/>
                </a:rPr>
                <a:pPr algn="l"/>
                <a:t>30%</a:t>
              </a:fld>
              <a:endParaRPr lang="en-US" sz="1400" b="1">
                <a:solidFill>
                  <a:schemeClr val="bg1"/>
                </a:solidFill>
                <a:latin typeface="Segoe UI Black" panose="020B0A02040204020203" pitchFamily="34" charset="0"/>
                <a:ea typeface="Segoe UI Black" panose="020B0A02040204020203" pitchFamily="34" charset="0"/>
              </a:endParaRPr>
            </a:p>
          </xdr:txBody>
        </xdr:sp>
        <xdr:sp macro="" textlink="">
          <xdr:nvSpPr>
            <xdr:cNvPr id="50" name="TextBox 49">
              <a:extLst>
                <a:ext uri="{FF2B5EF4-FFF2-40B4-BE49-F238E27FC236}">
                  <a16:creationId xmlns:a16="http://schemas.microsoft.com/office/drawing/2014/main" id="{0E303AB0-C402-425A-88F0-954379DCDF2E}"/>
                </a:ext>
              </a:extLst>
            </xdr:cNvPr>
            <xdr:cNvSpPr txBox="1"/>
          </xdr:nvSpPr>
          <xdr:spPr>
            <a:xfrm>
              <a:off x="2744467" y="484009"/>
              <a:ext cx="13241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i="0">
                  <a:solidFill>
                    <a:schemeClr val="bg1"/>
                  </a:solidFill>
                  <a:latin typeface="+mj-lt"/>
                </a:rPr>
                <a:t>Average Profit </a:t>
              </a:r>
            </a:p>
            <a:p>
              <a:r>
                <a:rPr lang="en-IN" sz="1100" i="0">
                  <a:solidFill>
                    <a:schemeClr val="bg1"/>
                  </a:solidFill>
                  <a:latin typeface="+mj-lt"/>
                </a:rPr>
                <a:t>Margin</a:t>
              </a:r>
            </a:p>
          </xdr:txBody>
        </xdr:sp>
      </xdr:grpSp>
      <xdr:grpSp>
        <xdr:nvGrpSpPr>
          <xdr:cNvPr id="53" name="Group 52">
            <a:extLst>
              <a:ext uri="{FF2B5EF4-FFF2-40B4-BE49-F238E27FC236}">
                <a16:creationId xmlns:a16="http://schemas.microsoft.com/office/drawing/2014/main" id="{4602D242-1BA5-4870-BC61-004B04765C11}"/>
              </a:ext>
            </a:extLst>
          </xdr:cNvPr>
          <xdr:cNvGrpSpPr/>
        </xdr:nvGrpSpPr>
        <xdr:grpSpPr>
          <a:xfrm>
            <a:off x="2643187" y="1837090"/>
            <a:ext cx="2716333" cy="1647126"/>
            <a:chOff x="2597226" y="1262944"/>
            <a:chExt cx="2729718" cy="1679223"/>
          </a:xfrm>
          <a:effectLst>
            <a:outerShdw blurRad="50800" dist="38100" dir="2700000" algn="tl" rotWithShape="0">
              <a:prstClr val="black">
                <a:alpha val="40000"/>
              </a:prstClr>
            </a:outerShdw>
          </a:effectLst>
        </xdr:grpSpPr>
        <xdr:graphicFrame macro="">
          <xdr:nvGraphicFramePr>
            <xdr:cNvPr id="51" name="Chart 50">
              <a:extLst>
                <a:ext uri="{FF2B5EF4-FFF2-40B4-BE49-F238E27FC236}">
                  <a16:creationId xmlns:a16="http://schemas.microsoft.com/office/drawing/2014/main" id="{9C62FEA1-FEE6-430C-AB04-3F2830970ABD}"/>
                </a:ext>
              </a:extLst>
            </xdr:cNvPr>
            <xdr:cNvGraphicFramePr>
              <a:graphicFrameLocks/>
            </xdr:cNvGraphicFramePr>
          </xdr:nvGraphicFramePr>
          <xdr:xfrm>
            <a:off x="2597226" y="1262944"/>
            <a:ext cx="2729718" cy="167922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TextBox 51">
              <a:extLst>
                <a:ext uri="{FF2B5EF4-FFF2-40B4-BE49-F238E27FC236}">
                  <a16:creationId xmlns:a16="http://schemas.microsoft.com/office/drawing/2014/main" id="{9F46950F-A9C9-499B-9FDE-CB9C845B830F}"/>
                </a:ext>
              </a:extLst>
            </xdr:cNvPr>
            <xdr:cNvSpPr txBox="1"/>
          </xdr:nvSpPr>
          <xdr:spPr>
            <a:xfrm>
              <a:off x="3111500" y="1312333"/>
              <a:ext cx="1734001"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Segoe UI Black" panose="020B0A02040204020203" pitchFamily="34" charset="0"/>
                  <a:ea typeface="Segoe UI Black" panose="020B0A02040204020203" pitchFamily="34" charset="0"/>
                </a:rPr>
                <a:t>Monthly</a:t>
              </a:r>
              <a:r>
                <a:rPr lang="en-IN" sz="1100" baseline="0">
                  <a:solidFill>
                    <a:schemeClr val="bg1"/>
                  </a:solidFill>
                  <a:latin typeface="Segoe UI Black" panose="020B0A02040204020203" pitchFamily="34" charset="0"/>
                  <a:ea typeface="Segoe UI Black" panose="020B0A02040204020203" pitchFamily="34" charset="0"/>
                </a:rPr>
                <a:t> Profit Trends</a:t>
              </a:r>
              <a:endParaRPr lang="en-IN" sz="1100">
                <a:solidFill>
                  <a:schemeClr val="bg1"/>
                </a:solidFill>
                <a:latin typeface="Segoe UI Black" panose="020B0A02040204020203" pitchFamily="34" charset="0"/>
                <a:ea typeface="Segoe UI Black" panose="020B0A02040204020203" pitchFamily="34" charset="0"/>
              </a:endParaRPr>
            </a:p>
          </xdr:txBody>
        </xdr:sp>
      </xdr:grpSp>
      <xdr:grpSp>
        <xdr:nvGrpSpPr>
          <xdr:cNvPr id="57" name="Group 56">
            <a:extLst>
              <a:ext uri="{FF2B5EF4-FFF2-40B4-BE49-F238E27FC236}">
                <a16:creationId xmlns:a16="http://schemas.microsoft.com/office/drawing/2014/main" id="{74D18B5D-9F43-47EB-9D7E-62D1C642755D}"/>
              </a:ext>
            </a:extLst>
          </xdr:cNvPr>
          <xdr:cNvGrpSpPr/>
        </xdr:nvGrpSpPr>
        <xdr:grpSpPr>
          <a:xfrm>
            <a:off x="5406849" y="1836209"/>
            <a:ext cx="2744964" cy="1632479"/>
            <a:chOff x="5411610" y="1270000"/>
            <a:chExt cx="2758722" cy="1651000"/>
          </a:xfrm>
          <a:effectLst>
            <a:outerShdw blurRad="50800" dist="38100" dir="2700000" algn="tl" rotWithShape="0">
              <a:prstClr val="black">
                <a:alpha val="40000"/>
              </a:prstClr>
            </a:outerShdw>
          </a:effectLst>
        </xdr:grpSpPr>
        <xdr:graphicFrame macro="">
          <xdr:nvGraphicFramePr>
            <xdr:cNvPr id="54" name="Chart 53">
              <a:extLst>
                <a:ext uri="{FF2B5EF4-FFF2-40B4-BE49-F238E27FC236}">
                  <a16:creationId xmlns:a16="http://schemas.microsoft.com/office/drawing/2014/main" id="{08B1A24D-531A-4799-8145-DE69FCB90506}"/>
                </a:ext>
              </a:extLst>
            </xdr:cNvPr>
            <xdr:cNvGraphicFramePr>
              <a:graphicFrameLocks/>
            </xdr:cNvGraphicFramePr>
          </xdr:nvGraphicFramePr>
          <xdr:xfrm>
            <a:off x="5411610" y="1270000"/>
            <a:ext cx="2758722" cy="16510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5" name="TextBox 54">
              <a:extLst>
                <a:ext uri="{FF2B5EF4-FFF2-40B4-BE49-F238E27FC236}">
                  <a16:creationId xmlns:a16="http://schemas.microsoft.com/office/drawing/2014/main" id="{851BC5BD-D5E4-47FA-82AD-7A61A406F026}"/>
                </a:ext>
              </a:extLst>
            </xdr:cNvPr>
            <xdr:cNvSpPr txBox="1"/>
          </xdr:nvSpPr>
          <xdr:spPr>
            <a:xfrm>
              <a:off x="5935282" y="1334959"/>
              <a:ext cx="1734001"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latin typeface="Segoe UI Black" panose="020B0A02040204020203" pitchFamily="34" charset="0"/>
                  <a:ea typeface="Segoe UI Black" panose="020B0A02040204020203" pitchFamily="34" charset="0"/>
                </a:rPr>
                <a:t>Monthly</a:t>
              </a:r>
              <a:r>
                <a:rPr lang="en-IN" sz="1100" baseline="0">
                  <a:solidFill>
                    <a:schemeClr val="bg1"/>
                  </a:solidFill>
                  <a:latin typeface="Segoe UI Black" panose="020B0A02040204020203" pitchFamily="34" charset="0"/>
                  <a:ea typeface="Segoe UI Black" panose="020B0A02040204020203" pitchFamily="34" charset="0"/>
                </a:rPr>
                <a:t> Sales Trends</a:t>
              </a:r>
              <a:endParaRPr lang="en-IN" sz="1100">
                <a:solidFill>
                  <a:schemeClr val="bg1"/>
                </a:solidFill>
                <a:latin typeface="Segoe UI Black" panose="020B0A02040204020203" pitchFamily="34" charset="0"/>
                <a:ea typeface="Segoe UI Black" panose="020B0A02040204020203" pitchFamily="34" charset="0"/>
              </a:endParaRPr>
            </a:p>
          </xdr:txBody>
        </xdr:sp>
      </xdr:grpSp>
      <xdr:grpSp>
        <xdr:nvGrpSpPr>
          <xdr:cNvPr id="12" name="Group 11">
            <a:extLst>
              <a:ext uri="{FF2B5EF4-FFF2-40B4-BE49-F238E27FC236}">
                <a16:creationId xmlns:a16="http://schemas.microsoft.com/office/drawing/2014/main" id="{974D17C9-54C9-4D55-AB15-9B88476C37D9}"/>
              </a:ext>
            </a:extLst>
          </xdr:cNvPr>
          <xdr:cNvGrpSpPr/>
        </xdr:nvGrpSpPr>
        <xdr:grpSpPr>
          <a:xfrm>
            <a:off x="6006498" y="354013"/>
            <a:ext cx="2231547" cy="1344612"/>
            <a:chOff x="6006498" y="354013"/>
            <a:chExt cx="2231547" cy="1344612"/>
          </a:xfrm>
        </xdr:grpSpPr>
        <xdr:grpSp>
          <xdr:nvGrpSpPr>
            <xdr:cNvPr id="45" name="Group 44">
              <a:extLst>
                <a:ext uri="{FF2B5EF4-FFF2-40B4-BE49-F238E27FC236}">
                  <a16:creationId xmlns:a16="http://schemas.microsoft.com/office/drawing/2014/main" id="{8D9A799B-A8F9-4BA7-BA92-E661D0C814B7}"/>
                </a:ext>
              </a:extLst>
            </xdr:cNvPr>
            <xdr:cNvGrpSpPr/>
          </xdr:nvGrpSpPr>
          <xdr:grpSpPr>
            <a:xfrm>
              <a:off x="6006498" y="354013"/>
              <a:ext cx="2134807" cy="1344612"/>
              <a:chOff x="2571147" y="442074"/>
              <a:chExt cx="1404557" cy="641350"/>
            </a:xfrm>
            <a:gradFill flip="none" rotWithShape="1">
              <a:gsLst>
                <a:gs pos="49000">
                  <a:schemeClr val="accent1">
                    <a:lumMod val="60000"/>
                    <a:lumOff val="40000"/>
                  </a:schemeClr>
                </a:gs>
                <a:gs pos="562">
                  <a:schemeClr val="bg1"/>
                </a:gs>
                <a:gs pos="14000">
                  <a:schemeClr val="accent1">
                    <a:lumMod val="20000"/>
                    <a:lumOff val="80000"/>
                  </a:schemeClr>
                </a:gs>
                <a:gs pos="68000">
                  <a:schemeClr val="accent1">
                    <a:lumMod val="75000"/>
                  </a:schemeClr>
                </a:gs>
                <a:gs pos="32000">
                  <a:schemeClr val="accent1">
                    <a:lumMod val="40000"/>
                    <a:lumOff val="60000"/>
                  </a:schemeClr>
                </a:gs>
                <a:gs pos="85000">
                  <a:schemeClr val="accent1">
                    <a:lumMod val="50000"/>
                  </a:schemeClr>
                </a:gs>
              </a:gsLst>
              <a:lin ang="2400000" scaled="0"/>
              <a:tileRect/>
            </a:gradFill>
            <a:effectLst>
              <a:outerShdw blurRad="50800" dist="38100" dir="2700000" algn="tl" rotWithShape="0">
                <a:prstClr val="black">
                  <a:alpha val="40000"/>
                </a:prstClr>
              </a:outerShdw>
            </a:effectLst>
          </xdr:grpSpPr>
          <xdr:sp macro="" textlink="$R$15">
            <xdr:nvSpPr>
              <xdr:cNvPr id="46" name="Rectangle: Rounded Corners 45">
                <a:extLst>
                  <a:ext uri="{FF2B5EF4-FFF2-40B4-BE49-F238E27FC236}">
                    <a16:creationId xmlns:a16="http://schemas.microsoft.com/office/drawing/2014/main" id="{F4946BE9-57DD-4162-A0C1-B036A83C4897}"/>
                  </a:ext>
                </a:extLst>
              </xdr:cNvPr>
              <xdr:cNvSpPr/>
            </xdr:nvSpPr>
            <xdr:spPr>
              <a:xfrm>
                <a:off x="2571147" y="442074"/>
                <a:ext cx="1404557" cy="64135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70A1777-907A-4CDF-84B2-AD6C224BBD8E}" type="TxLink">
                  <a:rPr lang="en-US" sz="6000" b="1" i="0" u="none" strike="noStrike">
                    <a:solidFill>
                      <a:sysClr val="windowText" lastClr="000000"/>
                    </a:solidFill>
                    <a:latin typeface="Segoe UI Black" panose="020B0A02040204020203" pitchFamily="34" charset="0"/>
                    <a:ea typeface="Segoe UI Black" panose="020B0A02040204020203" pitchFamily="34" charset="0"/>
                    <a:cs typeface="Calibri"/>
                  </a:rPr>
                  <a:pPr algn="l"/>
                  <a:t>4</a:t>
                </a:fld>
                <a:endParaRPr lang="en-IN" sz="6000" b="1">
                  <a:solidFill>
                    <a:sysClr val="windowText" lastClr="000000"/>
                  </a:solidFill>
                  <a:latin typeface="Segoe UI Black" panose="020B0A02040204020203" pitchFamily="34" charset="0"/>
                  <a:ea typeface="Segoe UI Black" panose="020B0A02040204020203" pitchFamily="34"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E70FC221-DC0A-4B24-9BCB-A737F0C9D454}"/>
                  </a:ext>
                </a:extLst>
              </xdr:cNvPr>
              <xdr:cNvSpPr txBox="1"/>
            </xdr:nvSpPr>
            <xdr:spPr>
              <a:xfrm>
                <a:off x="2633379" y="483187"/>
                <a:ext cx="1102225" cy="14479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i="0">
                    <a:solidFill>
                      <a:sysClr val="windowText" lastClr="000000"/>
                    </a:solidFill>
                    <a:latin typeface="+mj-lt"/>
                  </a:rPr>
                  <a:t>Low </a:t>
                </a:r>
                <a:r>
                  <a:rPr lang="en-IN" sz="1200" b="1" i="0">
                    <a:solidFill>
                      <a:sysClr val="windowText" lastClr="000000"/>
                    </a:solidFill>
                    <a:latin typeface="+mj-lt"/>
                  </a:rPr>
                  <a:t>Stock</a:t>
                </a:r>
                <a:r>
                  <a:rPr lang="en-IN" sz="1400" b="1" i="0">
                    <a:solidFill>
                      <a:sysClr val="windowText" lastClr="000000"/>
                    </a:solidFill>
                    <a:latin typeface="+mj-lt"/>
                  </a:rPr>
                  <a:t> Items</a:t>
                </a:r>
              </a:p>
            </xdr:txBody>
          </xdr:sp>
        </xdr:grpSp>
        <xdr:sp macro="" textlink="">
          <xdr:nvSpPr>
            <xdr:cNvPr id="30" name="TextBox 29">
              <a:extLst>
                <a:ext uri="{FF2B5EF4-FFF2-40B4-BE49-F238E27FC236}">
                  <a16:creationId xmlns:a16="http://schemas.microsoft.com/office/drawing/2014/main" id="{D0C979BC-B695-4C2E-985F-4D25A6FCD4FC}"/>
                </a:ext>
              </a:extLst>
            </xdr:cNvPr>
            <xdr:cNvSpPr txBox="1"/>
          </xdr:nvSpPr>
          <xdr:spPr>
            <a:xfrm>
              <a:off x="7302499" y="754062"/>
              <a:ext cx="935546" cy="801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1">
                  <a:solidFill>
                    <a:schemeClr val="bg1"/>
                  </a:solidFill>
                </a:rPr>
                <a:t>Laptop Z</a:t>
              </a:r>
            </a:p>
            <a:p>
              <a:pPr algn="l"/>
              <a:r>
                <a:rPr lang="en-IN" sz="1100" b="1">
                  <a:solidFill>
                    <a:schemeClr val="bg1"/>
                  </a:solidFill>
                </a:rPr>
                <a:t>Sofa E</a:t>
              </a:r>
            </a:p>
            <a:p>
              <a:pPr algn="l"/>
              <a:r>
                <a:rPr lang="en-IN" sz="1100" b="1">
                  <a:solidFill>
                    <a:schemeClr val="bg1"/>
                  </a:solidFill>
                </a:rPr>
                <a:t>Dress K</a:t>
              </a:r>
            </a:p>
            <a:p>
              <a:pPr algn="l"/>
              <a:r>
                <a:rPr lang="en-IN" sz="1100" b="1">
                  <a:solidFill>
                    <a:schemeClr val="bg1"/>
                  </a:solidFill>
                </a:rPr>
                <a:t>Shoes L</a:t>
              </a:r>
            </a:p>
          </xdr:txBody>
        </xdr:sp>
        <xdr:cxnSp macro="">
          <xdr:nvCxnSpPr>
            <xdr:cNvPr id="5" name="Straight Connector 4">
              <a:extLst>
                <a:ext uri="{FF2B5EF4-FFF2-40B4-BE49-F238E27FC236}">
                  <a16:creationId xmlns:a16="http://schemas.microsoft.com/office/drawing/2014/main" id="{495AEEDA-CFCC-4C43-A3C1-054C662CD4DB}"/>
                </a:ext>
              </a:extLst>
            </xdr:cNvPr>
            <xdr:cNvCxnSpPr/>
          </xdr:nvCxnSpPr>
          <xdr:spPr>
            <a:xfrm>
              <a:off x="7302501" y="833438"/>
              <a:ext cx="7937" cy="635000"/>
            </a:xfrm>
            <a:prstGeom prst="line">
              <a:avLst/>
            </a:prstGeom>
            <a:ln w="57150">
              <a:solidFill>
                <a:schemeClr val="accent2"/>
              </a:solidFill>
            </a:ln>
          </xdr:spPr>
          <xdr:style>
            <a:lnRef idx="3">
              <a:schemeClr val="accent2"/>
            </a:lnRef>
            <a:fillRef idx="0">
              <a:schemeClr val="accent2"/>
            </a:fillRef>
            <a:effectRef idx="2">
              <a:schemeClr val="accent2"/>
            </a:effectRef>
            <a:fontRef idx="minor">
              <a:schemeClr val="tx1"/>
            </a:fontRef>
          </xdr:style>
        </xdr:cxnSp>
      </xdr:grpSp>
    </xdr:grpSp>
    <xdr:clientData/>
  </xdr:twoCellAnchor>
  <xdr:twoCellAnchor editAs="oneCell">
    <xdr:from>
      <xdr:col>1</xdr:col>
      <xdr:colOff>138112</xdr:colOff>
      <xdr:row>4</xdr:row>
      <xdr:rowOff>176212</xdr:rowOff>
    </xdr:from>
    <xdr:to>
      <xdr:col>4</xdr:col>
      <xdr:colOff>41910</xdr:colOff>
      <xdr:row>9</xdr:row>
      <xdr:rowOff>177799</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15D72CD8-089F-4609-B0AC-C70E4B0370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5898" y="901926"/>
              <a:ext cx="1727155" cy="908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111654</xdr:colOff>
      <xdr:row>16</xdr:row>
      <xdr:rowOff>18219</xdr:rowOff>
    </xdr:from>
    <xdr:to>
      <xdr:col>4</xdr:col>
      <xdr:colOff>12806</xdr:colOff>
      <xdr:row>21</xdr:row>
      <xdr:rowOff>19806</xdr:rowOff>
    </xdr:to>
    <mc:AlternateContent xmlns:mc="http://schemas.openxmlformats.org/markup-compatibility/2006" xmlns:a14="http://schemas.microsoft.com/office/drawing/2010/main">
      <mc:Choice Requires="a14">
        <xdr:graphicFrame macro="">
          <xdr:nvGraphicFramePr>
            <xdr:cNvPr id="16" name="Store 1">
              <a:extLst>
                <a:ext uri="{FF2B5EF4-FFF2-40B4-BE49-F238E27FC236}">
                  <a16:creationId xmlns:a16="http://schemas.microsoft.com/office/drawing/2014/main" id="{1CFC030B-395B-486E-B64C-778578F25F4B}"/>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719440" y="2921076"/>
              <a:ext cx="1724509" cy="908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119214</xdr:colOff>
      <xdr:row>10</xdr:row>
      <xdr:rowOff>78697</xdr:rowOff>
    </xdr:from>
    <xdr:to>
      <xdr:col>4</xdr:col>
      <xdr:colOff>26413</xdr:colOff>
      <xdr:row>15</xdr:row>
      <xdr:rowOff>80283</xdr:rowOff>
    </xdr:to>
    <mc:AlternateContent xmlns:mc="http://schemas.openxmlformats.org/markup-compatibility/2006" xmlns:a14="http://schemas.microsoft.com/office/drawing/2010/main">
      <mc:Choice Requires="a14">
        <xdr:graphicFrame macro="">
          <xdr:nvGraphicFramePr>
            <xdr:cNvPr id="17" name="Product Category 1">
              <a:extLst>
                <a:ext uri="{FF2B5EF4-FFF2-40B4-BE49-F238E27FC236}">
                  <a16:creationId xmlns:a16="http://schemas.microsoft.com/office/drawing/2014/main" id="{40A69038-EB26-40ED-9DFA-7C601528AAF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727000" y="1892983"/>
              <a:ext cx="1730556" cy="908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98425</xdr:colOff>
      <xdr:row>22</xdr:row>
      <xdr:rowOff>1133</xdr:rowOff>
    </xdr:from>
    <xdr:to>
      <xdr:col>4</xdr:col>
      <xdr:colOff>0</xdr:colOff>
      <xdr:row>29</xdr:row>
      <xdr:rowOff>94795</xdr:rowOff>
    </xdr:to>
    <mc:AlternateContent xmlns:mc="http://schemas.openxmlformats.org/markup-compatibility/2006" xmlns:tsle="http://schemas.microsoft.com/office/drawing/2012/timeslicer">
      <mc:Choice Requires="tsle">
        <xdr:graphicFrame macro="">
          <xdr:nvGraphicFramePr>
            <xdr:cNvPr id="19" name="Date">
              <a:extLst>
                <a:ext uri="{FF2B5EF4-FFF2-40B4-BE49-F238E27FC236}">
                  <a16:creationId xmlns:a16="http://schemas.microsoft.com/office/drawing/2014/main" id="{095A18AE-2AD0-4E63-8831-3C9690ACC3B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09613" y="3834946"/>
              <a:ext cx="173513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344713</xdr:colOff>
      <xdr:row>19</xdr:row>
      <xdr:rowOff>10204</xdr:rowOff>
    </xdr:from>
    <xdr:to>
      <xdr:col>16</xdr:col>
      <xdr:colOff>708705</xdr:colOff>
      <xdr:row>20</xdr:row>
      <xdr:rowOff>144009</xdr:rowOff>
    </xdr:to>
    <xdr:sp macro="" textlink="">
      <xdr:nvSpPr>
        <xdr:cNvPr id="60" name="TextBox 59">
          <a:extLst>
            <a:ext uri="{FF2B5EF4-FFF2-40B4-BE49-F238E27FC236}">
              <a16:creationId xmlns:a16="http://schemas.microsoft.com/office/drawing/2014/main" id="{95DED586-A291-4FC0-8C6E-B26D01F67A42}"/>
            </a:ext>
          </a:extLst>
        </xdr:cNvPr>
        <xdr:cNvSpPr txBox="1"/>
      </xdr:nvSpPr>
      <xdr:spPr>
        <a:xfrm>
          <a:off x="9642927" y="3457347"/>
          <a:ext cx="3393849" cy="3152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i="0" u="sng">
              <a:ln w="3175">
                <a:noFill/>
              </a:ln>
              <a:solidFill>
                <a:schemeClr val="accent1"/>
              </a:solidFill>
              <a:latin typeface="Verdana" panose="020B0604030504040204" pitchFamily="34" charset="0"/>
              <a:ea typeface="Verdana" panose="020B0604030504040204" pitchFamily="34" charset="0"/>
            </a:rPr>
            <a:t> PROFIT</a:t>
          </a:r>
          <a:r>
            <a:rPr lang="en-IN" sz="1400" b="1" i="0" u="sng" baseline="0">
              <a:ln w="3175">
                <a:noFill/>
              </a:ln>
              <a:solidFill>
                <a:schemeClr val="accent1"/>
              </a:solidFill>
              <a:latin typeface="Verdana" panose="020B0604030504040204" pitchFamily="34" charset="0"/>
              <a:ea typeface="Verdana" panose="020B0604030504040204" pitchFamily="34" charset="0"/>
            </a:rPr>
            <a:t> AND STOCK </a:t>
          </a:r>
          <a:r>
            <a:rPr lang="en-IN" sz="1400" b="1" i="0" u="sng" baseline="0">
              <a:ln w="3175">
                <a:noFill/>
              </a:ln>
              <a:solidFill>
                <a:schemeClr val="tx1"/>
              </a:solidFill>
              <a:latin typeface="Verdana" panose="020B0604030504040204" pitchFamily="34" charset="0"/>
              <a:ea typeface="Verdana" panose="020B0604030504040204" pitchFamily="34" charset="0"/>
            </a:rPr>
            <a:t>MONITOR</a:t>
          </a:r>
          <a:endParaRPr lang="en-IN" sz="1400" b="1" i="0" u="sng">
            <a:ln w="3175">
              <a:noFill/>
            </a:ln>
            <a:solidFill>
              <a:schemeClr val="tx1"/>
            </a:solidFill>
            <a:latin typeface="Verdana" panose="020B0604030504040204" pitchFamily="34" charset="0"/>
            <a:ea typeface="Verdana" panose="020B0604030504040204" pitchFamily="34" charset="0"/>
          </a:endParaRPr>
        </a:p>
      </xdr:txBody>
    </xdr:sp>
    <xdr:clientData/>
  </xdr:twoCellAnchor>
  <xdr:twoCellAnchor editAs="oneCell">
    <xdr:from>
      <xdr:col>10</xdr:col>
      <xdr:colOff>232832</xdr:colOff>
      <xdr:row>5</xdr:row>
      <xdr:rowOff>63501</xdr:rowOff>
    </xdr:from>
    <xdr:to>
      <xdr:col>10</xdr:col>
      <xdr:colOff>550332</xdr:colOff>
      <xdr:row>7</xdr:row>
      <xdr:rowOff>17640</xdr:rowOff>
    </xdr:to>
    <xdr:pic>
      <xdr:nvPicPr>
        <xdr:cNvPr id="6" name="Graphic 5" descr="Warning">
          <a:extLst>
            <a:ext uri="{FF2B5EF4-FFF2-40B4-BE49-F238E27FC236}">
              <a16:creationId xmlns:a16="http://schemas.microsoft.com/office/drawing/2014/main" id="{D7D33970-B84B-44D1-AB71-B4F12373ABC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589888" y="980723"/>
          <a:ext cx="317500" cy="321028"/>
        </a:xfrm>
        <a:prstGeom prst="rect">
          <a:avLst/>
        </a:prstGeom>
      </xdr:spPr>
    </xdr:pic>
    <xdr:clientData/>
  </xdr:twoCellAnchor>
  <xdr:twoCellAnchor editAs="oneCell">
    <xdr:from>
      <xdr:col>7</xdr:col>
      <xdr:colOff>388056</xdr:colOff>
      <xdr:row>1</xdr:row>
      <xdr:rowOff>119945</xdr:rowOff>
    </xdr:from>
    <xdr:to>
      <xdr:col>7</xdr:col>
      <xdr:colOff>649111</xdr:colOff>
      <xdr:row>3</xdr:row>
      <xdr:rowOff>14111</xdr:rowOff>
    </xdr:to>
    <xdr:pic>
      <xdr:nvPicPr>
        <xdr:cNvPr id="13" name="Graphic 12" descr="Money">
          <a:extLst>
            <a:ext uri="{FF2B5EF4-FFF2-40B4-BE49-F238E27FC236}">
              <a16:creationId xmlns:a16="http://schemas.microsoft.com/office/drawing/2014/main" id="{2FAD0D34-1B4C-4DCF-A3AB-2F24DC05B87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741334" y="303389"/>
          <a:ext cx="261055" cy="261055"/>
        </a:xfrm>
        <a:prstGeom prst="rect">
          <a:avLst/>
        </a:prstGeom>
      </xdr:spPr>
    </xdr:pic>
    <xdr:clientData/>
  </xdr:twoCellAnchor>
  <xdr:twoCellAnchor editAs="oneCell">
    <xdr:from>
      <xdr:col>5</xdr:col>
      <xdr:colOff>70555</xdr:colOff>
      <xdr:row>1</xdr:row>
      <xdr:rowOff>81844</xdr:rowOff>
    </xdr:from>
    <xdr:to>
      <xdr:col>5</xdr:col>
      <xdr:colOff>381001</xdr:colOff>
      <xdr:row>3</xdr:row>
      <xdr:rowOff>25401</xdr:rowOff>
    </xdr:to>
    <xdr:pic>
      <xdr:nvPicPr>
        <xdr:cNvPr id="18" name="Graphic 17" descr="Bar chart RTL">
          <a:extLst>
            <a:ext uri="{FF2B5EF4-FFF2-40B4-BE49-F238E27FC236}">
              <a16:creationId xmlns:a16="http://schemas.microsoft.com/office/drawing/2014/main" id="{0D57E785-3BAA-4282-96A0-54642F1BB25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104444" y="265288"/>
          <a:ext cx="310446" cy="310446"/>
        </a:xfrm>
        <a:prstGeom prst="rect">
          <a:avLst/>
        </a:prstGeom>
      </xdr:spPr>
    </xdr:pic>
    <xdr:clientData/>
  </xdr:twoCellAnchor>
  <xdr:twoCellAnchor editAs="oneCell">
    <xdr:from>
      <xdr:col>5</xdr:col>
      <xdr:colOff>77610</xdr:colOff>
      <xdr:row>6</xdr:row>
      <xdr:rowOff>183443</xdr:rowOff>
    </xdr:from>
    <xdr:to>
      <xdr:col>5</xdr:col>
      <xdr:colOff>409222</xdr:colOff>
      <xdr:row>8</xdr:row>
      <xdr:rowOff>148166</xdr:rowOff>
    </xdr:to>
    <xdr:pic>
      <xdr:nvPicPr>
        <xdr:cNvPr id="22" name="Graphic 21" descr="Gold bars">
          <a:extLst>
            <a:ext uri="{FF2B5EF4-FFF2-40B4-BE49-F238E27FC236}">
              <a16:creationId xmlns:a16="http://schemas.microsoft.com/office/drawing/2014/main" id="{42DEE049-E15E-43D3-B725-5CD51D7F6D4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111499" y="1284110"/>
          <a:ext cx="331612" cy="331612"/>
        </a:xfrm>
        <a:prstGeom prst="rect">
          <a:avLst/>
        </a:prstGeom>
      </xdr:spPr>
    </xdr:pic>
    <xdr:clientData/>
  </xdr:twoCellAnchor>
  <xdr:oneCellAnchor>
    <xdr:from>
      <xdr:col>12</xdr:col>
      <xdr:colOff>217713</xdr:colOff>
      <xdr:row>0</xdr:row>
      <xdr:rowOff>154213</xdr:rowOff>
    </xdr:from>
    <xdr:ext cx="1593578" cy="248209"/>
    <xdr:sp macro="" textlink="">
      <xdr:nvSpPr>
        <xdr:cNvPr id="4" name="TextBox 3">
          <a:extLst>
            <a:ext uri="{FF2B5EF4-FFF2-40B4-BE49-F238E27FC236}">
              <a16:creationId xmlns:a16="http://schemas.microsoft.com/office/drawing/2014/main" id="{6A12D50B-E92E-47FD-9F7C-F183BF31CCE4}"/>
            </a:ext>
          </a:extLst>
        </xdr:cNvPr>
        <xdr:cNvSpPr txBox="1"/>
      </xdr:nvSpPr>
      <xdr:spPr>
        <a:xfrm>
          <a:off x="8409213" y="154213"/>
          <a:ext cx="1593578" cy="248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solidFill>
                <a:srgbClr val="FF0000"/>
              </a:solidFill>
              <a:latin typeface="Verdana" panose="020B0604030504040204" pitchFamily="34" charset="0"/>
              <a:ea typeface="Verdana" panose="020B0604030504040204" pitchFamily="34" charset="0"/>
            </a:rPr>
            <a:t>EXCEL DASHBOARD</a:t>
          </a:r>
        </a:p>
      </xdr:txBody>
    </xdr:sp>
    <xdr:clientData/>
  </xdr:oneCellAnchor>
  <xdr:twoCellAnchor>
    <xdr:from>
      <xdr:col>12</xdr:col>
      <xdr:colOff>226786</xdr:colOff>
      <xdr:row>1</xdr:row>
      <xdr:rowOff>18142</xdr:rowOff>
    </xdr:from>
    <xdr:to>
      <xdr:col>12</xdr:col>
      <xdr:colOff>226786</xdr:colOff>
      <xdr:row>1</xdr:row>
      <xdr:rowOff>163285</xdr:rowOff>
    </xdr:to>
    <xdr:cxnSp macro="">
      <xdr:nvCxnSpPr>
        <xdr:cNvPr id="8" name="Straight Connector 7">
          <a:extLst>
            <a:ext uri="{FF2B5EF4-FFF2-40B4-BE49-F238E27FC236}">
              <a16:creationId xmlns:a16="http://schemas.microsoft.com/office/drawing/2014/main" id="{9D5ADADF-D3CA-42E6-BFCA-32553D4A958C}"/>
            </a:ext>
          </a:extLst>
        </xdr:cNvPr>
        <xdr:cNvCxnSpPr/>
      </xdr:nvCxnSpPr>
      <xdr:spPr>
        <a:xfrm>
          <a:off x="8418286" y="199571"/>
          <a:ext cx="0" cy="145143"/>
        </a:xfrm>
        <a:prstGeom prst="line">
          <a:avLst/>
        </a:prstGeom>
        <a:ln w="76200"/>
      </xdr:spPr>
      <xdr:style>
        <a:lnRef idx="3">
          <a:schemeClr val="accent6"/>
        </a:lnRef>
        <a:fillRef idx="0">
          <a:schemeClr val="accent6"/>
        </a:fillRef>
        <a:effectRef idx="2">
          <a:schemeClr val="accent6"/>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6.958109953703" createdVersion="7" refreshedVersion="7" minRefreshableVersion="3" recordCount="16" xr:uid="{EAD27E6A-536A-4C52-85A3-F447C010B534}">
  <cacheSource type="worksheet">
    <worksheetSource name="Inventory_Data"/>
  </cacheSource>
  <cacheFields count="9">
    <cacheField name="Product Name" numFmtId="0">
      <sharedItems count="16">
        <s v="Bread O"/>
        <s v="Chair C"/>
        <s v="Desk F"/>
        <s v="Dress K"/>
        <s v="Headphones B"/>
        <s v="Jacket J"/>
        <s v="Laptop Z"/>
        <s v="Milk N"/>
        <s v="Phone X"/>
        <s v="Rice M"/>
        <s v="Shelf G"/>
        <s v="Shirt H"/>
        <s v="Shoes L"/>
        <s v="Sofa E"/>
        <s v="Sugar Q"/>
        <s v="Tablet A"/>
      </sharedItems>
    </cacheField>
    <cacheField name="Product Category" numFmtId="0">
      <sharedItems/>
    </cacheField>
    <cacheField name="Current Stock" numFmtId="0">
      <sharedItems containsSemiMixedTypes="0" containsString="0" containsNumber="1" containsInteger="1" minValue="5" maxValue="100" count="15">
        <n v="80"/>
        <n v="50"/>
        <n v="14"/>
        <n v="5"/>
        <n v="60"/>
        <n v="25"/>
        <n v="12"/>
        <n v="45"/>
        <n v="100"/>
        <n v="35"/>
        <n v="40"/>
        <n v="10"/>
        <n v="8"/>
        <n v="90"/>
        <n v="18"/>
      </sharedItems>
    </cacheField>
    <cacheField name="Reorder Level" numFmtId="0">
      <sharedItems containsSemiMixedTypes="0" containsString="0" containsNumber="1" containsInteger="1" minValue="10" maxValue="30"/>
    </cacheField>
    <cacheField name="Supplier Name" numFmtId="0">
      <sharedItems count="4">
        <s v="Supplier_C"/>
        <s v="Supplier_A"/>
        <s v="Supplier_B"/>
        <s v="Supplier_D"/>
      </sharedItems>
    </cacheField>
    <cacheField name="Lead Time (days)" numFmtId="0">
      <sharedItems containsSemiMixedTypes="0" containsString="0" containsNumber="1" containsInteger="1" minValue="3" maxValue="8"/>
    </cacheField>
    <cacheField name="Sum of Sales Data.Profit Margin" numFmtId="0">
      <sharedItems containsSemiMixedTypes="0" containsString="0" containsNumber="1" minValue="6.7609195402298861" maxValue="7.3956043956043969"/>
    </cacheField>
    <cacheField name="Stock Status" numFmtId="0">
      <sharedItems containsSemiMixedTypes="0" containsString="0" containsNumber="1" containsInteger="1" minValue="-1" maxValue="1" count="3">
        <n v="1"/>
        <n v="0"/>
        <n v="-1"/>
      </sharedItems>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48611115" backgroundQuery="1" createdVersion="7" refreshedVersion="7" minRefreshableVersion="3" recordCount="0" supportSubquery="1" supportAdvancedDrill="1" xr:uid="{29E7295A-5464-43DC-9D0C-FA8E901762DC}">
  <cacheSource type="external" connectionId="5"/>
  <cacheFields count="2">
    <cacheField name="[Sales Data].[Date (Month)].[Date (Month)]" caption="Date (Month)" numFmtId="0" hierarchy="26" level="1">
      <sharedItems count="3">
        <s v="Jan"/>
        <s v="Feb"/>
        <s v="Mar"/>
      </sharedItems>
    </cacheField>
    <cacheField name="[Measures].[Sum of Profit Amount]" caption="Sum of Profit Amount" numFmtId="0" hierarchy="52"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2"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2" memberValueDatatype="130" unbalanced="0"/>
    <cacheHierarchy uniqueName="[Inventory Data].[Current Stock]" caption="Current Stock" attribute="1" defaultMemberUniqueName="[Inventory Data].[Current Stock].[All]" allUniqueName="[Inventory Data].[Current Stock].[All]" dimensionUniqueName="[Inventory Data]" displayFolder="" count="2" memberValueDatatype="20" unbalanced="0"/>
    <cacheHierarchy uniqueName="[Inventory Data].[Reorder Level]" caption="Reorder Level" attribute="1" defaultMemberUniqueName="[Inventory Data].[Reorder Level].[All]" allUniqueName="[Inventory Data].[Reorder Level].[All]" dimensionUniqueName="[Inventory Data]" displayFolder="" count="2" memberValueDatatype="20" unbalanced="0"/>
    <cacheHierarchy uniqueName="[Inventory Data].[Supplier Name]" caption="Supplier Name" attribute="1" defaultMemberUniqueName="[Inventory Data].[Supplier Name].[All]" allUniqueName="[Inventory Data].[Supplier Name].[All]" dimensionUniqueName="[Inventory Data]" displayFolder="" count="2" memberValueDatatype="130" unbalanced="0"/>
    <cacheHierarchy uniqueName="[Inventory Data].[Lead Time (days)]" caption="Lead Time (days)" attribute="1" defaultMemberUniqueName="[Inventory Data].[Lead Time (days)].[All]" allUniqueName="[Inventory Data].[Lead Time (days)].[All]" dimensionUniqueName="[Inventory Data]" displayFolder="" count="2"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2" memberValueDatatype="5" unbalanced="0"/>
    <cacheHierarchy uniqueName="[Inventory Data].[Stock Status]" caption="Stock Status" attribute="1" defaultMemberUniqueName="[Inventory Data].[Stock Status].[All]" allUniqueName="[Inventory Data].[Stock Status].[All]" dimensionUniqueName="[Inventory Data]" displayFolder="" count="2" memberValueDatatype="5" unbalanced="0"/>
    <cacheHierarchy uniqueName="[Inventory_Data].[Product Name]" caption="Product Name" attribute="1" defaultMemberUniqueName="[Inventory_Data].[Product Name].[All]" allUniqueName="[Inventory_Data].[Product Name].[All]" dimensionUniqueName="[Inventory_Data]" displayFolder="" count="2"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2" memberValueDatatype="130" unbalanced="0"/>
    <cacheHierarchy uniqueName="[Inventory_Data].[Current Stock]" caption="Current Stock" attribute="1" defaultMemberUniqueName="[Inventory_Data].[Current Stock].[All]" allUniqueName="[Inventory_Data].[Current Stock].[All]" dimensionUniqueName="[Inventory_Data]" displayFolder="" count="2" memberValueDatatype="20" unbalanced="0"/>
    <cacheHierarchy uniqueName="[Inventory_Data].[Reorder Level]" caption="Reorder Level" attribute="1" defaultMemberUniqueName="[Inventory_Data].[Reorder Level].[All]" allUniqueName="[Inventory_Data].[Reorder Level].[All]" dimensionUniqueName="[Inventory_Data]" displayFolder="" count="2" memberValueDatatype="20" unbalanced="0"/>
    <cacheHierarchy uniqueName="[Inventory_Data].[Supplier Name]" caption="Supplier Name" attribute="1" defaultMemberUniqueName="[Inventory_Data].[Supplier Name].[All]" allUniqueName="[Inventory_Data].[Supplier Name].[All]" dimensionUniqueName="[Inventory_Data]" displayFolder="" count="2" memberValueDatatype="130" unbalanced="0"/>
    <cacheHierarchy uniqueName="[Inventory_Data].[Lead Time (days)]" caption="Lead Time (days)" attribute="1" defaultMemberUniqueName="[Inventory_Data].[Lead Time (days)].[All]" allUniqueName="[Inventory_Data].[Lead Time (days)].[All]" dimensionUniqueName="[Inventory_Data]" displayFolder="" count="2" memberValueDatatype="20" unbalanced="0"/>
    <cacheHierarchy uniqueName="[Inventory_Data].[Profit Margin]" caption="Profit Margin" attribute="1" defaultMemberUniqueName="[Inventory_Data].[Profit Margin].[All]" allUniqueName="[Inventory_Data].[Profit Margin].[All]" dimensionUniqueName="[Inventory_Data]" displayFolder="" count="2"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2"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2" memberValueDatatype="130" unbalanced="0"/>
    <cacheHierarchy uniqueName="[Sales Data].[Units Sold]" caption="Units Sold" attribute="1" defaultMemberUniqueName="[Sales Data].[Units Sold].[All]" allUniqueName="[Sales Data].[Units Sold].[All]" dimensionUniqueName="[Sales Data]" displayFolder="" count="2" memberValueDatatype="20" unbalanced="0"/>
    <cacheHierarchy uniqueName="[Sales Data].[Unit Price]" caption="Unit Price" attribute="1" defaultMemberUniqueName="[Sales Data].[Unit Price].[All]" allUniqueName="[Sales Data].[Unit Price].[All]" dimensionUniqueName="[Sales Data]" displayFolder="" count="2" memberValueDatatype="5" unbalanced="0"/>
    <cacheHierarchy uniqueName="[Sales Data].[Sales Amount]" caption="Sales Amount" attribute="1" defaultMemberUniqueName="[Sales Data].[Sales Amount].[All]" allUniqueName="[Sales Data].[Sales Amount].[All]" dimensionUniqueName="[Sales Data]" displayFolder="" count="2" memberValueDatatype="5" unbalanced="0"/>
    <cacheHierarchy uniqueName="[Sales Data].[Cost Amount]" caption="Cost Amount" attribute="1" defaultMemberUniqueName="[Sales Data].[Cost Amount].[All]" allUniqueName="[Sales Data].[Cost Amount].[All]" dimensionUniqueName="[Sales Data]" displayFolder="" count="2" memberValueDatatype="5" unbalanced="0"/>
    <cacheHierarchy uniqueName="[Sales Data].[Profit Amount]" caption="Profit Amount" attribute="1" defaultMemberUniqueName="[Sales Data].[Profit Amount].[All]" allUniqueName="[Sales Data].[Profit Amount].[All]" dimensionUniqueName="[Sales Data]" displayFolder="" count="2" memberValueDatatype="5" unbalanced="0"/>
    <cacheHierarchy uniqueName="[Sales Data].[Profit Margin]" caption="Profit Margin" attribute="1" defaultMemberUniqueName="[Sales Data].[Profit Margin].[All]" allUniqueName="[Sales Data].[Profit Margin].[All]" dimensionUniqueName="[Sales Data]" displayFolder="" count="2" memberValueDatatype="5" unbalanced="0"/>
    <cacheHierarchy uniqueName="[Sales Data].[Date (Month)]" caption="Date (Month)" attribute="1" defaultMemberUniqueName="[Sales Data].[Date (Month)].[All]" allUniqueName="[Sales Data].[Date (Month)].[All]" dimensionUniqueName="[Sales Data]" displayFolder="" count="2" memberValueDatatype="130" unbalanced="0">
      <fieldsUsage count="2">
        <fieldUsage x="-1"/>
        <fieldUsage x="0"/>
      </fieldsUsage>
    </cacheHierarchy>
    <cacheHierarchy uniqueName="[Sales_Data].[Date]" caption="Date" attribute="1" time="1" defaultMemberUniqueName="[Sales_Data].[Date].[All]" allUniqueName="[Sales_Data].[Date].[All]" dimensionUniqueName="[Sales_Data]" displayFolder="" count="2" memberValueDatatype="7" unbalanced="0"/>
    <cacheHierarchy uniqueName="[Sales_Data].[Store]" caption="Store" attribute="1" defaultMemberUniqueName="[Sales_Data].[Store].[All]" allUniqueName="[Sales_Data].[Stor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2"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cacheHierarchy uniqueName="[Sales_Data].[Units Sold]" caption="Units Sold" attribute="1" defaultMemberUniqueName="[Sales_Data].[Units Sold].[All]" allUniqueName="[Sales_Data].[Units Sold].[All]" dimensionUniqueName="[Sales_Data]" displayFolder="" count="2" memberValueDatatype="20" unbalanced="0"/>
    <cacheHierarchy uniqueName="[Sales_Data].[Unit Price]" caption="Unit Price" attribute="1" defaultMemberUniqueName="[Sales_Data].[Unit Price].[All]" allUniqueName="[Sales_Data].[Unit Price].[All]" dimensionUniqueName="[Sales_Data]" displayFolder="" count="2" memberValueDatatype="20" unbalanced="0"/>
    <cacheHierarchy uniqueName="[Sales_Data].[Sales Amount]" caption="Sales Amount" attribute="1" defaultMemberUniqueName="[Sales_Data].[Sales Amount].[All]" allUniqueName="[Sales_Data].[Sales Amount].[All]" dimensionUniqueName="[Sales_Data]" displayFolder="" count="2" memberValueDatatype="20" unbalanced="0"/>
    <cacheHierarchy uniqueName="[Sales_Data].[Cost Amount]" caption="Cost Amount" attribute="1" defaultMemberUniqueName="[Sales_Data].[Cost Amount].[All]" allUniqueName="[Sales_Data].[Cost Amount].[All]" dimensionUniqueName="[Sales_Data]" displayFolder="" count="2" memberValueDatatype="5" unbalanced="0"/>
    <cacheHierarchy uniqueName="[Sales_Data].[Profit Amount]" caption="Profit Amount" attribute="1" defaultMemberUniqueName="[Sales_Data].[Profit Amount].[All]" allUniqueName="[Sales_Data].[Profit Amount].[All]" dimensionUniqueName="[Sales_Data]" displayFolder="" count="2" memberValueDatatype="5" unbalanced="0"/>
    <cacheHierarchy uniqueName="[Sales_Data].[Profit Margin]" caption="Profit Margin" attribute="1" defaultMemberUniqueName="[Sales_Data].[Profit Margin].[All]" allUniqueName="[Sales_Data].[Profit Margin].[All]" dimensionUniqueName="[Sales_Data]" displayFolder="" count="2" memberValueDatatype="5" unbalanced="0"/>
    <cacheHierarchy uniqueName="[Sales_Data].[Date (Month Index)]" caption="Date (Month Index)" attribute="1" defaultMemberUniqueName="[Sales_Data].[Date (Month Index)].[All]" allUniqueName="[Sales_Data].[Date (Month Index)].[All]" dimensionUniqueName="[Sales_Data]" displayFolder="" count="2" memberValueDatatype="20"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Sales Data].[Date (Month Index)]" caption="Date (Month Index)" attribute="1" defaultMemberUniqueName="[Sales Data].[Date (Month Index)].[All]" allUniqueName="[Sales Data].[Date (Month Index)].[All]" dimensionUniqueName="[Sales Data]" displayFolder="" count="2"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48726853" backgroundQuery="1" createdVersion="7" refreshedVersion="7" minRefreshableVersion="3" recordCount="0" supportSubquery="1" supportAdvancedDrill="1" xr:uid="{C8E984D4-DBA5-4012-B586-45D902B89D90}">
  <cacheSource type="external" connectionId="5"/>
  <cacheFields count="1">
    <cacheField name="[Measures].[Sum of Sales Amount]" caption="Sum of Sales Amount" numFmtId="0" hierarchy="51"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48958331" backgroundQuery="1" createdVersion="7" refreshedVersion="7" minRefreshableVersion="3" recordCount="0" supportSubquery="1" supportAdvancedDrill="1" xr:uid="{01C91D83-A784-47DC-A575-6C950945FC3C}">
  <cacheSource type="external" connectionId="5"/>
  <cacheFields count="1">
    <cacheField name="[Measures].[Total  Profit]" caption="Total  Profit" numFmtId="0" hierarchy="42"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oneField="1">
      <fieldsUsage count="1">
        <fieldUsage x="0"/>
      </fieldsUsage>
    </cacheHierarchy>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49189815" backgroundQuery="1" createdVersion="7" refreshedVersion="7" minRefreshableVersion="3" recordCount="0" supportSubquery="1" supportAdvancedDrill="1" xr:uid="{F1013F84-80DA-4D43-B296-83D4749EE041}">
  <cacheSource type="external" connectionId="5"/>
  <cacheFields count="1">
    <cacheField name="[Measures].[Total Units]" caption="Total Units" numFmtId="0" hierarchy="43"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oneField="1">
      <fieldsUsage count="1">
        <fieldUsage x="0"/>
      </fieldsUsage>
    </cacheHierarchy>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49305554" backgroundQuery="1" createdVersion="7" refreshedVersion="7" minRefreshableVersion="3" recordCount="0" supportSubquery="1" supportAdvancedDrill="1" xr:uid="{9EC73537-553D-438D-A716-8EB0ACC53E0C}">
  <cacheSource type="external" connectionId="5"/>
  <cacheFields count="1">
    <cacheField name="[Measures].[Low Stock Items]" caption="Low Stock Items" numFmtId="0" hierarchy="44"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oneField="1">
      <fieldsUsage count="1">
        <fieldUsage x="0"/>
      </fieldsUsage>
    </cacheHierarchy>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49537038" backgroundQuery="1" createdVersion="7" refreshedVersion="7" minRefreshableVersion="3" recordCount="0" supportSubquery="1" supportAdvancedDrill="1" xr:uid="{FC5CBB78-2795-4CDB-B9E2-9ED253FFE135}">
  <cacheSource type="external" connectionId="5"/>
  <cacheFields count="1">
    <cacheField name="[Measures].[Total Profit Margin]" caption="Total Profit Margin" numFmtId="0" hierarchy="45"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oneField="1">
      <fieldsUsage count="1">
        <fieldUsage x="0"/>
      </fieldsUsage>
    </cacheHierarchy>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49652777" backgroundQuery="1" createdVersion="7" refreshedVersion="7" minRefreshableVersion="3" recordCount="0" supportSubquery="1" supportAdvancedDrill="1" xr:uid="{89AB0E1D-9223-4116-AB55-20B5A4E68A95}">
  <cacheSource type="external" connectionId="5"/>
  <cacheFields count="1">
    <cacheField name="[Measures].[Low Stock Items]" caption="Low Stock Items" numFmtId="0" hierarchy="44"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oneField="1">
      <fieldsUsage count="1">
        <fieldUsage x="0"/>
      </fieldsUsage>
    </cacheHierarchy>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0115739" backgroundQuery="1" createdVersion="7" refreshedVersion="7" minRefreshableVersion="3" recordCount="0" supportSubquery="1" supportAdvancedDrill="1" xr:uid="{DC77C737-0D7A-432A-8E62-D96B1F8AD0B2}">
  <cacheSource type="external" connectionId="5"/>
  <cacheFields count="2">
    <cacheField name="[Measures].[Sum of Sales Amount]" caption="Sum of Sales Amount" numFmtId="0" hierarchy="51" level="32767"/>
    <cacheField name="[Sales Data].[Date (Month)].[Date (Month)]" caption="Date (Month)" numFmtId="0" hierarchy="26" level="1">
      <sharedItems count="3">
        <s v="Jan"/>
        <s v="Feb"/>
        <s v="Mar"/>
      </sharedItems>
    </cacheField>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2"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2" memberValueDatatype="130" unbalanced="0">
      <fieldsUsage count="2">
        <fieldUsage x="-1"/>
        <fieldUsage x="1"/>
      </fieldsUsage>
    </cacheHierarchy>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0462962" backgroundQuery="1" createdVersion="7" refreshedVersion="7" minRefreshableVersion="3" recordCount="0" supportSubquery="1" supportAdvancedDrill="1" xr:uid="{CACD7566-3434-4C79-8D03-B2968F951055}">
  <cacheSource type="external" connectionId="5"/>
  <cacheFields count="2">
    <cacheField name="[Measures].[Sum of Profit Amount]" caption="Sum of Profit Amount" numFmtId="0" hierarchy="52" level="32767"/>
    <cacheField name="[Sales Data].[Product Name].[Product Name]" caption="Product Name" numFmtId="0" hierarchy="19" level="1">
      <sharedItems count="5">
        <s v="Desk F"/>
        <s v="Headphones B"/>
        <s v="Laptop Z"/>
        <s v="Phone X"/>
        <s v="Tablet A"/>
      </sharedItems>
    </cacheField>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2"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2" memberValueDatatype="130" unbalanced="0">
      <fieldsUsage count="2">
        <fieldUsage x="-1"/>
        <fieldUsage x="1"/>
      </fieldsUsage>
    </cacheHierarchy>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0462962" backgroundQuery="1" createdVersion="7" refreshedVersion="7" minRefreshableVersion="3" recordCount="0" supportSubquery="1" supportAdvancedDrill="1" xr:uid="{33D9A492-B97D-447E-AF86-62C2F061B878}">
  <cacheSource type="external" connectionId="5"/>
  <cacheFields count="1">
    <cacheField name="[Measures].[Total Sales]" caption="Total Sales" numFmtId="0" hierarchy="41"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oneField="1">
      <fieldsUsage count="1">
        <fieldUsage x="0"/>
      </fieldsUsage>
    </cacheHierarchy>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104167" backgroundQuery="1" createdVersion="7" refreshedVersion="7" minRefreshableVersion="3" recordCount="0" supportSubquery="1" supportAdvancedDrill="1" xr:uid="{17A3935E-3F03-4122-8955-BA0A2BA78A43}">
  <cacheSource type="external" connectionId="5"/>
  <cacheFields count="2">
    <cacheField name="[Sales Data].[Product Category].[Product Category]" caption="Product Category" numFmtId="0" hierarchy="18" level="1">
      <sharedItems count="4">
        <s v="Clothing"/>
        <s v="Electronics"/>
        <s v="Furniture"/>
        <s v="Grocery"/>
      </sharedItems>
    </cacheField>
    <cacheField name="[Measures].[Sum of Profit Margin]" caption="Sum of Profit Margin" numFmtId="0" hierarchy="55"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2"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fieldsUsage count="2">
        <fieldUsage x="-1"/>
        <fieldUsage x="0"/>
      </fieldsUsage>
    </cacheHierarchy>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oneField="1" hidden="1">
      <fieldsUsage count="1">
        <fieldUsage x="1"/>
      </fieldsUsage>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1388886" backgroundQuery="1" createdVersion="7" refreshedVersion="7" minRefreshableVersion="3" recordCount="0" supportSubquery="1" supportAdvancedDrill="1" xr:uid="{6C5C2828-73F1-417E-AF9D-7CC2C419FAD9}">
  <cacheSource type="external" connectionId="5"/>
  <cacheFields count="2">
    <cacheField name="[Measures].[Sum of Sales Amount]" caption="Sum of Sales Amount" numFmtId="0" hierarchy="51" level="32767"/>
    <cacheField name="[Inventory Data].[Product Category].[Product Category]" caption="Product Category" numFmtId="0" hierarchy="1" level="1">
      <sharedItems count="4">
        <s v="Clothing"/>
        <s v="Electronics"/>
        <s v="Furniture"/>
        <s v="Grocery"/>
      </sharedItems>
    </cacheField>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2" memberValueDatatype="130" unbalanced="0">
      <fieldsUsage count="2">
        <fieldUsage x="-1"/>
        <fieldUsage x="1"/>
      </fieldsUsage>
    </cacheHierarchy>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2"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1736109" backgroundQuery="1" createdVersion="7" refreshedVersion="7" minRefreshableVersion="3" recordCount="0" supportSubquery="1" supportAdvancedDrill="1" xr:uid="{8D81BBB2-7A40-45D4-8221-CEB704B8149E}">
  <cacheSource type="external" connectionId="5"/>
  <cacheFields count="2">
    <cacheField name="[Measures].[Sum of Sales Amount]" caption="Sum of Sales Amount" numFmtId="0" hierarchy="51" level="32767"/>
    <cacheField name="[Sales Data].[Region].[Region]" caption="Region" numFmtId="0" hierarchy="17" level="1">
      <sharedItems count="4">
        <s v="East"/>
        <s v="North"/>
        <s v="South"/>
        <s v="West"/>
      </sharedItems>
    </cacheField>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2" memberValueDatatype="130" unbalanced="0"/>
    <cacheHierarchy uniqueName="[Sales Data].[Region]" caption="Region" attribute="1" defaultMemberUniqueName="[Sales Data].[Region].[All]" allUniqueName="[Sales Data].[Region].[All]" dimensionUniqueName="[Sales Data]" displayFolder="" count="2" memberValueDatatype="130" unbalanced="0">
      <fieldsUsage count="2">
        <fieldUsage x="-1"/>
        <fieldUsage x="1"/>
      </fieldsUsage>
    </cacheHierarchy>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1736109" backgroundQuery="1" createdVersion="7" refreshedVersion="7" minRefreshableVersion="3" recordCount="0" supportSubquery="1" supportAdvancedDrill="1" xr:uid="{CE662850-66AA-41D5-A014-6FBA1D6493F1}">
  <cacheSource type="external" connectionId="5"/>
  <cacheFields count="1">
    <cacheField name="[Measures].[Total  Profit]" caption="Total  Profit" numFmtId="0" hierarchy="42"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oneField="1">
      <fieldsUsage count="1">
        <fieldUsage x="0"/>
      </fieldsUsage>
    </cacheHierarchy>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1967594" backgroundQuery="1" createdVersion="7" refreshedVersion="7" minRefreshableVersion="3" recordCount="0" supportSubquery="1" supportAdvancedDrill="1" xr:uid="{016027A5-0104-4C29-A0B6-0338B3F36E2E}">
  <cacheSource type="external" connectionId="5"/>
  <cacheFields count="1">
    <cacheField name="[Measures].[Total Profit Margin]" caption="Total Profit Margin" numFmtId="0" hierarchy="45"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oneField="1">
      <fieldsUsage count="1">
        <fieldUsage x="0"/>
      </fieldsUsage>
    </cacheHierarchy>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2083333" backgroundQuery="1" createdVersion="7" refreshedVersion="7" minRefreshableVersion="3" recordCount="0" supportSubquery="1" supportAdvancedDrill="1" xr:uid="{E037BF17-BCEB-4622-98D8-8246B4682AF2}">
  <cacheSource type="external" connectionId="5"/>
  <cacheFields count="1">
    <cacheField name="[Measures].[Sum of Sales Amount]" caption="Sum of Sales Amount" numFmtId="0" hierarchy="51"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7.545352314817" backgroundQuery="1" createdVersion="7" refreshedVersion="7" minRefreshableVersion="3" recordCount="0" supportSubquery="1" supportAdvancedDrill="1" xr:uid="{0306EC54-10DE-42E2-B222-B20DC2CB613A}">
  <cacheSource type="external" connectionId="5"/>
  <cacheFields count="1">
    <cacheField name="[Measures].[Total Units]" caption="Total Units" numFmtId="0" hierarchy="43" level="32767"/>
  </cacheFields>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oneField="1">
      <fieldsUsage count="1">
        <fieldUsage x="0"/>
      </fieldsUsage>
    </cacheHierarchy>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dimensions count="5">
    <dimension name="Inventory Data" uniqueName="[Inventory Data]" caption="Inventory Data"/>
    <dimension name="Inventory_Data" uniqueName="[Inventory_Data]" caption="Inventory_Data"/>
    <dimension measure="1" name="Measures" uniqueName="[Measures]" caption="Measures"/>
    <dimension name="Sales Data" uniqueName="[Sales Data]" caption="Sales Data"/>
    <dimension name="Sales_Data" uniqueName="[Sales_Data]" caption="Sales_Data"/>
  </dimensions>
  <measureGroups count="4">
    <measureGroup name="Inventory Data" caption="Inventory Data"/>
    <measureGroup name="Inventory_Data" caption="Inventory_Data"/>
    <measureGroup name="Sales Data" caption="Sales Data"/>
    <measureGroup name="Sales_Data" caption="Sales_Data"/>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6.898137731485" backgroundQuery="1" createdVersion="3" refreshedVersion="7" minRefreshableVersion="3" recordCount="0" supportSubquery="1" supportAdvancedDrill="1" xr:uid="{ED20F5E3-83B6-4368-BFC3-7A9648F40A22}">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2"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45432770"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86.993399884261" backgroundQuery="1" createdVersion="3" refreshedVersion="7" minRefreshableVersion="3" recordCount="0" supportSubquery="1" supportAdvancedDrill="1" xr:uid="{F225F319-42E7-4063-B731-903F29E5161A}">
  <cacheSource type="external" connectionId="5">
    <extLst>
      <ext xmlns:x14="http://schemas.microsoft.com/office/spreadsheetml/2009/9/main" uri="{F057638F-6D5F-4e77-A914-E7F072B9BCA8}">
        <x14:sourceConnection name="ThisWorkbookDataModel"/>
      </ext>
    </extLst>
  </cacheSource>
  <cacheFields count="0"/>
  <cacheHierarchies count="61">
    <cacheHierarchy uniqueName="[Inventory Data].[Product Name]" caption="Product Name" attribute="1" defaultMemberUniqueName="[Inventory Data].[Product Name].[All]" allUniqueName="[Inventory Data].[Product Name].[All]" dimensionUniqueName="[Inventory Data]" displayFolder="" count="0" memberValueDatatype="130" unbalanced="0"/>
    <cacheHierarchy uniqueName="[Inventory Data].[Product Category]" caption="Product Category" attribute="1" defaultMemberUniqueName="[Inventory Data].[Product Category].[All]" allUniqueName="[Inventory Data].[Product Category].[All]" dimensionUniqueName="[Inventory Data]" displayFolder="" count="0" memberValueDatatype="130" unbalanced="0"/>
    <cacheHierarchy uniqueName="[Inventory Data].[Current Stock]" caption="Current Stock" attribute="1" defaultMemberUniqueName="[Inventory Data].[Current Stock].[All]" allUniqueName="[Inventory Data].[Current Stock].[All]" dimensionUniqueName="[Inventory Data]" displayFolder="" count="0" memberValueDatatype="20" unbalanced="0"/>
    <cacheHierarchy uniqueName="[Inventory Data].[Reorder Level]" caption="Reorder Level" attribute="1" defaultMemberUniqueName="[Inventory Data].[Reorder Level].[All]" allUniqueName="[Inventory Data].[Reorder Level].[All]" dimensionUniqueName="[Inventory Data]" displayFolder="" count="0" memberValueDatatype="20" unbalanced="0"/>
    <cacheHierarchy uniqueName="[Inventory Data].[Supplier Name]" caption="Supplier Name" attribute="1" defaultMemberUniqueName="[Inventory Data].[Supplier Name].[All]" allUniqueName="[Inventory Data].[Supplier Name].[All]" dimensionUniqueName="[Inventory Data]" displayFolder="" count="0" memberValueDatatype="130" unbalanced="0"/>
    <cacheHierarchy uniqueName="[Inventory Data].[Lead Time (days)]" caption="Lead Time (days)" attribute="1" defaultMemberUniqueName="[Inventory Data].[Lead Time (days)].[All]" allUniqueName="[Inventory Data].[Lead Time (days)].[All]" dimensionUniqueName="[Inventory Data]" displayFolder="" count="0" memberValueDatatype="20" unbalanced="0"/>
    <cacheHierarchy uniqueName="[Inventory Data].[Sum of Sales Data.Profit Margin]" caption="Sum of Sales Data.Profit Margin" attribute="1" defaultMemberUniqueName="[Inventory Data].[Sum of Sales Data.Profit Margin].[All]" allUniqueName="[Inventory Data].[Sum of Sales Data.Profit Margin].[All]" dimensionUniqueName="[Inventory Data]" displayFolder="" count="0" memberValueDatatype="5" unbalanced="0"/>
    <cacheHierarchy uniqueName="[Inventory Data].[Stock Status]" caption="Stock Status" attribute="1" defaultMemberUniqueName="[Inventory Data].[Stock Status].[All]" allUniqueName="[Inventory Data].[Stock Status].[All]" dimensionUniqueName="[Inventory Data]" displayFolder="" count="0" memberValueDatatype="5" unbalanced="0"/>
    <cacheHierarchy uniqueName="[Inventory_Data].[Product Name]" caption="Product Name" attribute="1" defaultMemberUniqueName="[Inventory_Data].[Product Name].[All]" allUniqueName="[Inventory_Data].[Product Name].[All]" dimensionUniqueName="[Inventory_Data]" displayFolder="" count="0" memberValueDatatype="130" unbalanced="0"/>
    <cacheHierarchy uniqueName="[Inventory_Data].[Product Category]" caption="Product Category" attribute="1" defaultMemberUniqueName="[Inventory_Data].[Product Category].[All]" allUniqueName="[Inventory_Data].[Product Category].[All]" dimensionUniqueName="[Inventory_Data]" displayFolder="" count="0" memberValueDatatype="130" unbalanced="0"/>
    <cacheHierarchy uniqueName="[Inventory_Data].[Current Stock]" caption="Current Stock" attribute="1" defaultMemberUniqueName="[Inventory_Data].[Current Stock].[All]" allUniqueName="[Inventory_Data].[Current Stock].[All]" dimensionUniqueName="[Inventory_Data]" displayFolder="" count="0" memberValueDatatype="20" unbalanced="0"/>
    <cacheHierarchy uniqueName="[Inventory_Data].[Reorder Level]" caption="Reorder Level" attribute="1" defaultMemberUniqueName="[Inventory_Data].[Reorder Level].[All]" allUniqueName="[Inventory_Data].[Reorder Level].[All]" dimensionUniqueName="[Inventory_Data]" displayFolder="" count="0" memberValueDatatype="20" unbalanced="0"/>
    <cacheHierarchy uniqueName="[Inventory_Data].[Supplier Name]" caption="Supplier Name" attribute="1" defaultMemberUniqueName="[Inventory_Data].[Supplier Name].[All]" allUniqueName="[Inventory_Data].[Supplier Name].[All]" dimensionUniqueName="[Inventory_Data]" displayFolder="" count="0" memberValueDatatype="130" unbalanced="0"/>
    <cacheHierarchy uniqueName="[Inventory_Data].[Lead Time (days)]" caption="Lead Time (days)" attribute="1" defaultMemberUniqueName="[Inventory_Data].[Lead Time (days)].[All]" allUniqueName="[Inventory_Data].[Lead Time (days)].[All]" dimensionUniqueName="[Inventory_Data]" displayFolder="" count="0" memberValueDatatype="20" unbalanced="0"/>
    <cacheHierarchy uniqueName="[Inventory_Data].[Profit Margin]" caption="Profit Margin" attribute="1" defaultMemberUniqueName="[Inventory_Data].[Profit Margin].[All]" allUniqueName="[Inventory_Data].[Profit Margin].[All]" dimensionUniqueName="[Inventory_Data]" displayFolder="" count="0" memberValueDatatype="5" unbalanced="0"/>
    <cacheHierarchy uniqueName="[Sales Data].[Date]" caption="Date" attribute="1" time="1" defaultMemberUniqueName="[Sales Data].[Date].[All]" allUniqueName="[Sales Data].[Date].[All]" dimensionUniqueName="[Sales Data]" displayFolder="" count="2" memberValueDatatype="7" unbalanced="0"/>
    <cacheHierarchy uniqueName="[Sales Data].[Store]" caption="Store" attribute="1" defaultMemberUniqueName="[Sales Data].[Store].[All]" allUniqueName="[Sales Data].[Stor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s Sold]" caption="Units Sold" attribute="1" defaultMemberUniqueName="[Sales Data].[Units Sold].[All]" allUniqueName="[Sales Data].[Units Sold].[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Cost Amount]" caption="Cost Amount" attribute="1" defaultMemberUniqueName="[Sales Data].[Cost Amount].[All]" allUniqueName="[Sales Data].[Cost Amount].[All]" dimensionUniqueName="[Sales Data]" displayFolder="" count="0" memberValueDatatype="5" unbalanced="0"/>
    <cacheHierarchy uniqueName="[Sales Data].[Profit Amount]" caption="Profit Amount" attribute="1" defaultMemberUniqueName="[Sales Data].[Profit Amount].[All]" allUniqueName="[Sales Data].[Profit Amount].[All]" dimensionUniqueName="[Sales Data]" displayFolder="" count="0" memberValueDatatype="5" unbalanced="0"/>
    <cacheHierarchy uniqueName="[Sales Data].[Profit Margin]" caption="Profit Margin" attribute="1" defaultMemberUniqueName="[Sales Data].[Profit Margin].[All]" allUniqueName="[Sales Data].[Profit Margin].[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Store]" caption="Store" attribute="1" defaultMemberUniqueName="[Sales_Data].[Store].[All]" allUniqueName="[Sales_Data].[Stor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Units Sold]" caption="Units Sold" attribute="1" defaultMemberUniqueName="[Sales_Data].[Units Sold].[All]" allUniqueName="[Sales_Data].[Units Sold].[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Cost Amount]" caption="Cost Amount" attribute="1" defaultMemberUniqueName="[Sales_Data].[Cost Amount].[All]" allUniqueName="[Sales_Data].[Cost Amount].[All]" dimensionUniqueName="[Sales_Data]" displayFolder="" count="0" memberValueDatatype="5" unbalanced="0"/>
    <cacheHierarchy uniqueName="[Sales_Data].[Profit Amount]" caption="Profit Amount" attribute="1" defaultMemberUniqueName="[Sales_Data].[Profit Amount].[All]" allUniqueName="[Sales_Data].[Profit Amoun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Total Sales]" caption="Total Sales" measure="1" displayFolder="" measureGroup="Sales Data" count="0"/>
    <cacheHierarchy uniqueName="[Measures].[Total  Profit]" caption="Total  Profit" measure="1" displayFolder="" measureGroup="Sales Data" count="0"/>
    <cacheHierarchy uniqueName="[Measures].[Total Units]" caption="Total Units" measure="1" displayFolder="" measureGroup="Sales Data" count="0"/>
    <cacheHierarchy uniqueName="[Measures].[Low Stock Items]" caption="Low Stock Items" measure="1" displayFolder="" measureGroup="Inventory Data" count="0"/>
    <cacheHierarchy uniqueName="[Measures].[Total Profit Margin]" caption="Total Profit Margin" measure="1" displayFolder="" measureGroup="Inventory Data" count="0"/>
    <cacheHierarchy uniqueName="[Measures].[__XL_Count Sales Data]" caption="__XL_Count Sales Data" measure="1" displayFolder="" measureGroup="Sales Data" count="0" hidden="1"/>
    <cacheHierarchy uniqueName="[Measures].[__XL_Count Inventory Data]" caption="__XL_Count Inventory Data" measure="1" displayFolder="" measureGroup="Inventory Data" count="0" hidden="1"/>
    <cacheHierarchy uniqueName="[Measures].[__XL_Count Sales_Data]" caption="__XL_Count Sales_Data" measure="1" displayFolder="" measureGroup="Sales_Data" count="0" hidden="1"/>
    <cacheHierarchy uniqueName="[Measures].[__XL_Count Inventory_Data]" caption="__XL_Count Inventory_Data" measure="1" displayFolder="" measureGroup="Inventory_Data" count="0" hidden="1"/>
    <cacheHierarchy uniqueName="[Measures].[__No measures defined]" caption="__No measures defined" measure="1" displayFolder="" count="0" hidden="1"/>
    <cacheHierarchy uniqueName="[Measures].[Sum of Sales Amount]" caption="Sum of Sales Amount" measure="1" displayFolder="" measureGroup="Sales Data" count="0" hidden="1">
      <extLst>
        <ext xmlns:x15="http://schemas.microsoft.com/office/spreadsheetml/2010/11/main" uri="{B97F6D7D-B522-45F9-BDA1-12C45D357490}">
          <x15:cacheHierarchy aggregatedColumn="22"/>
        </ext>
      </extLst>
    </cacheHierarchy>
    <cacheHierarchy uniqueName="[Measures].[Sum of Profit Amount]" caption="Sum of Profit Amount" measure="1" displayFolder="" measureGroup="Sales Data"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Inventory Data" count="0" hidden="1">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Inventory Data"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Average of Profit Margin]" caption="Average of Profit Margin" measure="1" displayFolder="" measureGroup="Sales Data" count="0" hidden="1">
      <extLst>
        <ext xmlns:x15="http://schemas.microsoft.com/office/spreadsheetml/2010/11/main" uri="{B97F6D7D-B522-45F9-BDA1-12C45D357490}">
          <x15:cacheHierarchy aggregatedColumn="25"/>
        </ext>
      </extLst>
    </cacheHierarchy>
    <cacheHierarchy uniqueName="[Measures].[Sum of Current Stock 2]" caption="Sum of Current Stock 2" measure="1" displayFolder="" measureGroup="Inventory_Data" count="0" hidden="1">
      <extLst>
        <ext xmlns:x15="http://schemas.microsoft.com/office/spreadsheetml/2010/11/main" uri="{B97F6D7D-B522-45F9-BDA1-12C45D357490}">
          <x15:cacheHierarchy aggregatedColumn="10"/>
        </ext>
      </extLst>
    </cacheHierarchy>
    <cacheHierarchy uniqueName="[Measures].[Sum of Reorder Level 2]" caption="Sum of Reorder Level 2"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fit Margin 2]" caption="Sum of Profit Margin 2" measure="1" displayFolder="" measureGroup="Inventory_Data" count="0" hidden="1">
      <extLst>
        <ext xmlns:x15="http://schemas.microsoft.com/office/spreadsheetml/2010/11/main" uri="{B97F6D7D-B522-45F9-BDA1-12C45D357490}">
          <x15:cacheHierarchy aggregatedColumn="14"/>
        </ext>
      </extLst>
    </cacheHierarchy>
    <cacheHierarchy uniqueName="[Measures].[Sum of Stock Status]" caption="Sum of Stock Status" measure="1" displayFolder="" measureGroup="Inventory 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3179378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s v="Grocery"/>
    <x v="0"/>
    <n v="25"/>
    <x v="0"/>
    <n v="3"/>
    <n v="6.8571428571428585"/>
    <x v="0"/>
    <m/>
  </r>
  <r>
    <x v="1"/>
    <s v="Furniture"/>
    <x v="1"/>
    <n v="20"/>
    <x v="1"/>
    <n v="5"/>
    <n v="7.2285714285714295"/>
    <x v="0"/>
    <m/>
  </r>
  <r>
    <x v="2"/>
    <s v="Furniture"/>
    <x v="2"/>
    <n v="12"/>
    <x v="0"/>
    <n v="6"/>
    <n v="6.8571428571428577"/>
    <x v="1"/>
    <m/>
  </r>
  <r>
    <x v="3"/>
    <s v="Clothing"/>
    <x v="3"/>
    <n v="12"/>
    <x v="2"/>
    <n v="6"/>
    <n v="6.8571428571428577"/>
    <x v="2"/>
    <m/>
  </r>
  <r>
    <x v="4"/>
    <s v="Electronics"/>
    <x v="4"/>
    <n v="25"/>
    <x v="0"/>
    <n v="6"/>
    <n v="6.7777777777777786"/>
    <x v="0"/>
    <m/>
  </r>
  <r>
    <x v="5"/>
    <s v="Clothing"/>
    <x v="5"/>
    <n v="15"/>
    <x v="1"/>
    <n v="4"/>
    <n v="7.3956043956043969"/>
    <x v="0"/>
    <m/>
  </r>
  <r>
    <x v="6"/>
    <s v="Electronics"/>
    <x v="6"/>
    <n v="15"/>
    <x v="2"/>
    <n v="7"/>
    <n v="6.7609195402298861"/>
    <x v="2"/>
    <m/>
  </r>
  <r>
    <x v="7"/>
    <s v="Grocery"/>
    <x v="4"/>
    <n v="25"/>
    <x v="2"/>
    <n v="4"/>
    <n v="6.8571428571428585"/>
    <x v="0"/>
    <m/>
  </r>
  <r>
    <x v="8"/>
    <s v="Electronics"/>
    <x v="7"/>
    <n v="20"/>
    <x v="1"/>
    <n v="5"/>
    <n v="7.2857142857142865"/>
    <x v="0"/>
    <m/>
  </r>
  <r>
    <x v="9"/>
    <s v="Grocery"/>
    <x v="8"/>
    <n v="30"/>
    <x v="1"/>
    <n v="3"/>
    <n v="7.2857142857142874"/>
    <x v="0"/>
    <m/>
  </r>
  <r>
    <x v="10"/>
    <s v="Furniture"/>
    <x v="9"/>
    <n v="18"/>
    <x v="3"/>
    <n v="7"/>
    <n v="6.8571428571428577"/>
    <x v="0"/>
    <m/>
  </r>
  <r>
    <x v="11"/>
    <s v="Clothing"/>
    <x v="10"/>
    <n v="20"/>
    <x v="0"/>
    <n v="5"/>
    <n v="6.8571428571428577"/>
    <x v="0"/>
    <m/>
  </r>
  <r>
    <x v="12"/>
    <s v="Clothing"/>
    <x v="11"/>
    <n v="15"/>
    <x v="3"/>
    <n v="4"/>
    <n v="6.8571428571428577"/>
    <x v="2"/>
    <m/>
  </r>
  <r>
    <x v="13"/>
    <s v="Furniture"/>
    <x v="12"/>
    <n v="10"/>
    <x v="2"/>
    <n v="8"/>
    <n v="6.8571428571428577"/>
    <x v="2"/>
    <m/>
  </r>
  <r>
    <x v="14"/>
    <s v="Grocery"/>
    <x v="13"/>
    <n v="30"/>
    <x v="3"/>
    <n v="4"/>
    <n v="6.8571428571428585"/>
    <x v="0"/>
    <m/>
  </r>
  <r>
    <x v="15"/>
    <s v="Electronics"/>
    <x v="14"/>
    <n v="12"/>
    <x v="3"/>
    <n v="4"/>
    <n v="6.8174603174603181"/>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408272-880D-4C6A-B607-FDF6997744EA}" name="Monthly Sales Trends" cacheId="8" applyNumberFormats="0" applyBorderFormats="0" applyFontFormats="0" applyPatternFormats="0" applyAlignmentFormats="0" applyWidthHeightFormats="1" dataCaption="Values" tag="b822fc6d-6087-4fcb-8bd6-d119308fcf45" updatedVersion="7" minRefreshableVersion="5" useAutoFormatting="1" subtotalHiddenItems="1" itemPrintTitles="1" createdVersion="7" indent="0" outline="1" outlineData="1" multipleFieldFilters="0" chartFormat="4">
  <location ref="F3:G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Amount"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006958-B952-4DE6-814B-54172C0EA8E7}" name="PivotTable1" cacheId="9" applyNumberFormats="0" applyBorderFormats="0" applyFontFormats="0" applyPatternFormats="0" applyAlignmentFormats="0" applyWidthHeightFormats="1" dataCaption="Values" tag="f42f6721-7997-4a47-b512-b9900b351247" updatedVersion="7" minRefreshableVersion="5" useAutoFormatting="1" subtotalHiddenItems="1" itemPrintTitles="1" createdVersion="7" indent="0" outline="1" outlineData="1" multipleFieldFilters="0" chartFormat="7">
  <location ref="I18:J24"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Profit Amount" fld="0" baseField="1"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0"/>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6" format="6">
      <pivotArea type="data" outline="0" fieldPosition="0">
        <references count="2">
          <reference field="4294967294" count="1" selected="0">
            <x v="0"/>
          </reference>
          <reference field="1" count="1" selected="0">
            <x v="3"/>
          </reference>
        </references>
      </pivotArea>
    </chartFormat>
    <chartFormat chart="6" format="7">
      <pivotArea type="data" outline="0" fieldPosition="0">
        <references count="2">
          <reference field="4294967294" count="1" selected="0">
            <x v="0"/>
          </reference>
          <reference field="1"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2">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3BE2F-959F-4CED-B1AF-67717962D839}" name="Total Profit Margin" cacheId="15" applyNumberFormats="0" applyBorderFormats="0" applyFontFormats="0" applyPatternFormats="0" applyAlignmentFormats="0" applyWidthHeightFormats="1" dataCaption="Values" tag="6d0ff4ed-d1ef-4dfe-996e-a06751c4f929" updatedVersion="7" minRefreshableVersion="5" useAutoFormatting="1" subtotalHiddenItems="1" itemPrintTitles="1" createdVersion="7"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53D576-36E8-4E89-934B-92EFAEE0816A}" name="Total Units" cacheId="17" applyNumberFormats="0" applyBorderFormats="0" applyFontFormats="0" applyPatternFormats="0" applyAlignmentFormats="0" applyWidthHeightFormats="1" dataCaption="Values" tag="b2575967-c279-40d6-abb1-95b9f4722447" updatedVersion="7" minRefreshableVersion="5" useAutoFormatting="1" subtotalHiddenItems="1" itemPrintTitles="1" createdVersion="7" indent="0" outline="1" outlineData="1" multipleFieldFilters="0">
  <location ref="D9:D1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5924D8-B402-4712-A762-E0E795533C5A}" name="Total Sales" cacheId="16" applyNumberFormats="0" applyBorderFormats="0" applyFontFormats="0" applyPatternFormats="0" applyAlignmentFormats="0" applyWidthHeightFormats="1" dataCaption="Values" tag="7f0c9f97-34b6-4a0b-86a6-4c89d2158bcf" updatedVersion="7" minRefreshableVersion="5" useAutoFormatting="1" subtotalHiddenItems="1" itemPrintTitles="1" createdVersion="7"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Sum of Sales Amount" fld="0" baseField="0" baseItem="0"/>
  </dataFields>
  <formats count="1">
    <format dxfId="54">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433BB6-F527-4275-9893-F8C4D1C57760}" name="Sales by Category" cacheId="12" applyNumberFormats="0" applyBorderFormats="0" applyFontFormats="0" applyPatternFormats="0" applyAlignmentFormats="0" applyWidthHeightFormats="1" dataCaption="Values" tag="4282606f-9089-42d0-9a50-8d1e3ceb1365" updatedVersion="7" minRefreshableVersion="5" useAutoFormatting="1" subtotalHiddenItems="1" itemPrintTitles="1" createdVersion="7" indent="0" outline="1" outlineData="1" multipleFieldFilters="0" chartFormat="5">
  <location ref="A36:B41"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Amount" fld="0" baseField="0" baseItem="0"/>
  </dataFields>
  <chartFormats count="11">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FBCC32-ABA5-4E94-9D7E-0A175E21B4DD}" name="Total Profit" cacheId="14" applyNumberFormats="0" applyBorderFormats="0" applyFontFormats="0" applyPatternFormats="0" applyAlignmentFormats="0" applyWidthHeightFormats="1" dataCaption="Values" tag="e37ae051-d5d7-48c5-a185-eb2dffc7b61f" updatedVersion="7" minRefreshableVersion="5" useAutoFormatting="1" subtotalHiddenItems="1" itemPrintTitles="1" createdVersion="7" indent="0" outline="1" outlineData="1" multipleFieldFilters="0">
  <location ref="D6:D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AC0143-3528-40FC-B0A6-E4B647B239D0}" name="Monthly Profit Trends" cacheId="1" applyNumberFormats="0" applyBorderFormats="0" applyFontFormats="0" applyPatternFormats="0" applyAlignmentFormats="0" applyWidthHeightFormats="1" dataCaption="Values" tag="f42f6721-7997-4a47-b512-b9900b351247" updatedVersion="7" minRefreshableVersion="5" useAutoFormatting="1" subtotalHiddenItems="1" itemPrintTitles="1" createdVersion="7" indent="0" outline="1" outlineData="1" multipleFieldFilters="0" chartFormat="4">
  <location ref="F10:G1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Amoun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476A26-718D-4A71-8C84-653C76DB1C73}" name="Low Stock Items" cacheId="7" applyNumberFormats="0" applyBorderFormats="0" applyFontFormats="0" applyPatternFormats="0" applyAlignmentFormats="0" applyWidthHeightFormats="1" dataCaption="Values" tag="8252e9df-1529-4c81-aca9-c4dd2a56c8f7" updatedVersion="7" minRefreshableVersion="5" useAutoFormatting="1" subtotalHiddenItems="1" itemPrintTitles="1" createdVersion="7" indent="0" outline="1" outlineData="1" multipleFieldFilters="0">
  <location ref="D12:D1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5A305C-AC7F-4DC0-9392-C6BEC0D6F70B}" name="Sales by Regions" cacheId="13" applyNumberFormats="0" applyBorderFormats="0" applyFontFormats="0" applyPatternFormats="0" applyAlignmentFormats="0" applyWidthHeightFormats="1" dataCaption="Values" tag="548eec5b-c283-40ee-bbcb-b210a2509de3" updatedVersion="7" minRefreshableVersion="5" useAutoFormatting="1" subtotalHiddenItems="1" itemPrintTitles="1" createdVersion="7" indent="0" outline="1" outlineData="1" multipleFieldFilters="0" chartFormat="4">
  <location ref="A28:B33"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Amount"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9C0B69-FEBC-4512-A35E-FE62C5025430}" name="PivotTable24" cacheId="11" applyNumberFormats="0" applyBorderFormats="0" applyFontFormats="0" applyPatternFormats="0" applyAlignmentFormats="0" applyWidthHeightFormats="1" dataCaption="Values" tag="edd57189-8f75-4dc8-b300-55ac473c3dc3" updatedVersion="7" minRefreshableVersion="5" useAutoFormatting="1" subtotalHiddenItems="1" itemPrintTitles="1" createdVersion="7" indent="0" outline="1" outlineData="1" multipleFieldFilters="0" chartFormat="5">
  <location ref="F46:G5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Margin" fld="1" showDataAs="percentOfTotal" baseField="0" baseItem="0" numFmtId="1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Profit Margin"/>
    <pivotHierarchy dragToData="1" caption="Average of Profit Margi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0B74E6-FD8F-491D-B67D-15362353C3D8}" name="PivotTable17" cacheId="10" applyNumberFormats="0" applyBorderFormats="0" applyFontFormats="0" applyPatternFormats="0" applyAlignmentFormats="0" applyWidthHeightFormats="1" dataCaption="Values" tag="01ecc5eb-3631-4f9e-99c4-bdc1a18b7612" updatedVersion="7" minRefreshableVersion="5" useAutoFormatting="1" subtotalHiddenItems="1" itemPrintTitles="1" createdVersion="7" indent="0" outline="1" outlineData="1" multipleFieldFilters="0">
  <location ref="B65:B6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1A28AC-B3BB-4205-BD0A-AFB74FA8A6BD}" name="PivotTable2"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compact="0" compactData="0" multipleFieldFilters="0">
  <location ref="M3:Q19" firstHeaderRow="0" firstDataRow="1" firstDataCol="3"/>
  <pivotFields count="9">
    <pivotField axis="axisRow" compact="0" outline="0" showAll="0" defaultSubtotal="0">
      <items count="16">
        <item x="0"/>
        <item x="1"/>
        <item x="2"/>
        <item x="3"/>
        <item x="4"/>
        <item x="5"/>
        <item x="6"/>
        <item x="7"/>
        <item x="8"/>
        <item x="9"/>
        <item x="10"/>
        <item x="11"/>
        <item x="12"/>
        <item x="13"/>
        <item x="14"/>
        <item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5">
        <item x="3"/>
        <item x="12"/>
        <item x="11"/>
        <item x="6"/>
        <item x="2"/>
        <item x="14"/>
        <item x="5"/>
        <item x="9"/>
        <item x="10"/>
        <item x="7"/>
        <item x="1"/>
        <item x="4"/>
        <item x="0"/>
        <item x="13"/>
        <item x="8"/>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0"/>
    <field x="7"/>
    <field x="4"/>
  </rowFields>
  <rowItems count="16">
    <i>
      <x/>
      <x v="2"/>
      <x v="2"/>
    </i>
    <i>
      <x v="1"/>
      <x v="2"/>
      <x/>
    </i>
    <i>
      <x v="2"/>
      <x v="1"/>
      <x v="2"/>
    </i>
    <i>
      <x v="3"/>
      <x/>
      <x v="1"/>
    </i>
    <i>
      <x v="4"/>
      <x v="2"/>
      <x v="2"/>
    </i>
    <i>
      <x v="5"/>
      <x v="2"/>
      <x/>
    </i>
    <i>
      <x v="6"/>
      <x/>
      <x v="1"/>
    </i>
    <i>
      <x v="7"/>
      <x v="2"/>
      <x v="1"/>
    </i>
    <i>
      <x v="8"/>
      <x v="2"/>
      <x/>
    </i>
    <i>
      <x v="9"/>
      <x v="2"/>
      <x/>
    </i>
    <i>
      <x v="10"/>
      <x v="2"/>
      <x v="3"/>
    </i>
    <i>
      <x v="11"/>
      <x v="2"/>
      <x v="2"/>
    </i>
    <i>
      <x v="12"/>
      <x/>
      <x v="3"/>
    </i>
    <i>
      <x v="13"/>
      <x/>
      <x v="1"/>
    </i>
    <i>
      <x v="14"/>
      <x v="2"/>
      <x v="3"/>
    </i>
    <i>
      <x v="15"/>
      <x v="2"/>
      <x v="3"/>
    </i>
  </rowItems>
  <colFields count="1">
    <field x="-2"/>
  </colFields>
  <colItems count="2">
    <i>
      <x/>
    </i>
    <i i="1">
      <x v="1"/>
    </i>
  </colItems>
  <dataFields count="2">
    <dataField name=" Current Stock" fld="2" baseField="4" baseItem="2"/>
    <dataField name=" Reorder Level" fld="3" baseField="4" baseItem="2"/>
  </dataFields>
  <formats count="31">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field="7" type="button" dataOnly="0" labelOnly="1" outline="0" axis="axisRow" fieldPosition="1"/>
    </format>
    <format dxfId="26">
      <pivotArea field="4" type="button" dataOnly="0" labelOnly="1" outline="0" axis="axisRow" fieldPosition="2"/>
    </format>
    <format dxfId="25">
      <pivotArea dataOnly="0" labelOnly="1" outline="0" fieldPosition="0">
        <references count="1">
          <reference field="0" count="0"/>
        </references>
      </pivotArea>
    </format>
    <format dxfId="24">
      <pivotArea dataOnly="0" labelOnly="1" outline="0" fieldPosition="0">
        <references count="2">
          <reference field="0" count="1" selected="0">
            <x v="0"/>
          </reference>
          <reference field="7" count="1">
            <x v="2"/>
          </reference>
        </references>
      </pivotArea>
    </format>
    <format dxfId="23">
      <pivotArea dataOnly="0" labelOnly="1" outline="0" fieldPosition="0">
        <references count="2">
          <reference field="0" count="1" selected="0">
            <x v="2"/>
          </reference>
          <reference field="7" count="1">
            <x v="1"/>
          </reference>
        </references>
      </pivotArea>
    </format>
    <format dxfId="22">
      <pivotArea dataOnly="0" labelOnly="1" outline="0" fieldPosition="0">
        <references count="2">
          <reference field="0" count="1" selected="0">
            <x v="3"/>
          </reference>
          <reference field="7" count="1">
            <x v="0"/>
          </reference>
        </references>
      </pivotArea>
    </format>
    <format dxfId="21">
      <pivotArea dataOnly="0" labelOnly="1" outline="0" fieldPosition="0">
        <references count="2">
          <reference field="0" count="1" selected="0">
            <x v="4"/>
          </reference>
          <reference field="7" count="1">
            <x v="2"/>
          </reference>
        </references>
      </pivotArea>
    </format>
    <format dxfId="20">
      <pivotArea dataOnly="0" labelOnly="1" outline="0" fieldPosition="0">
        <references count="2">
          <reference field="0" count="1" selected="0">
            <x v="6"/>
          </reference>
          <reference field="7" count="1">
            <x v="0"/>
          </reference>
        </references>
      </pivotArea>
    </format>
    <format dxfId="19">
      <pivotArea dataOnly="0" labelOnly="1" outline="0" fieldPosition="0">
        <references count="2">
          <reference field="0" count="1" selected="0">
            <x v="7"/>
          </reference>
          <reference field="7" count="1">
            <x v="2"/>
          </reference>
        </references>
      </pivotArea>
    </format>
    <format dxfId="18">
      <pivotArea dataOnly="0" labelOnly="1" outline="0" fieldPosition="0">
        <references count="2">
          <reference field="0" count="1" selected="0">
            <x v="12"/>
          </reference>
          <reference field="7" count="1">
            <x v="0"/>
          </reference>
        </references>
      </pivotArea>
    </format>
    <format dxfId="17">
      <pivotArea dataOnly="0" labelOnly="1" outline="0" fieldPosition="0">
        <references count="2">
          <reference field="0" count="1" selected="0">
            <x v="14"/>
          </reference>
          <reference field="7" count="1">
            <x v="2"/>
          </reference>
        </references>
      </pivotArea>
    </format>
    <format dxfId="16">
      <pivotArea dataOnly="0" labelOnly="1" outline="0" fieldPosition="0">
        <references count="3">
          <reference field="0" count="1" selected="0">
            <x v="0"/>
          </reference>
          <reference field="4" count="1">
            <x v="2"/>
          </reference>
          <reference field="7" count="1" selected="0">
            <x v="2"/>
          </reference>
        </references>
      </pivotArea>
    </format>
    <format dxfId="15">
      <pivotArea dataOnly="0" labelOnly="1" outline="0" fieldPosition="0">
        <references count="3">
          <reference field="0" count="1" selected="0">
            <x v="1"/>
          </reference>
          <reference field="4" count="1">
            <x v="0"/>
          </reference>
          <reference field="7" count="1" selected="0">
            <x v="2"/>
          </reference>
        </references>
      </pivotArea>
    </format>
    <format dxfId="14">
      <pivotArea dataOnly="0" labelOnly="1" outline="0" fieldPosition="0">
        <references count="3">
          <reference field="0" count="1" selected="0">
            <x v="2"/>
          </reference>
          <reference field="4" count="1">
            <x v="2"/>
          </reference>
          <reference field="7" count="1" selected="0">
            <x v="1"/>
          </reference>
        </references>
      </pivotArea>
    </format>
    <format dxfId="13">
      <pivotArea dataOnly="0" labelOnly="1" outline="0" fieldPosition="0">
        <references count="3">
          <reference field="0" count="1" selected="0">
            <x v="3"/>
          </reference>
          <reference field="4" count="1">
            <x v="1"/>
          </reference>
          <reference field="7" count="1" selected="0">
            <x v="0"/>
          </reference>
        </references>
      </pivotArea>
    </format>
    <format dxfId="12">
      <pivotArea dataOnly="0" labelOnly="1" outline="0" fieldPosition="0">
        <references count="3">
          <reference field="0" count="1" selected="0">
            <x v="4"/>
          </reference>
          <reference field="4" count="1">
            <x v="2"/>
          </reference>
          <reference field="7" count="1" selected="0">
            <x v="2"/>
          </reference>
        </references>
      </pivotArea>
    </format>
    <format dxfId="11">
      <pivotArea dataOnly="0" labelOnly="1" outline="0" fieldPosition="0">
        <references count="3">
          <reference field="0" count="1" selected="0">
            <x v="5"/>
          </reference>
          <reference field="4" count="1">
            <x v="0"/>
          </reference>
          <reference field="7" count="1" selected="0">
            <x v="2"/>
          </reference>
        </references>
      </pivotArea>
    </format>
    <format dxfId="10">
      <pivotArea dataOnly="0" labelOnly="1" outline="0" fieldPosition="0">
        <references count="3">
          <reference field="0" count="1" selected="0">
            <x v="6"/>
          </reference>
          <reference field="4" count="1">
            <x v="1"/>
          </reference>
          <reference field="7" count="1" selected="0">
            <x v="0"/>
          </reference>
        </references>
      </pivotArea>
    </format>
    <format dxfId="9">
      <pivotArea dataOnly="0" labelOnly="1" outline="0" fieldPosition="0">
        <references count="3">
          <reference field="0" count="1" selected="0">
            <x v="7"/>
          </reference>
          <reference field="4" count="1">
            <x v="1"/>
          </reference>
          <reference field="7" count="1" selected="0">
            <x v="2"/>
          </reference>
        </references>
      </pivotArea>
    </format>
    <format dxfId="8">
      <pivotArea dataOnly="0" labelOnly="1" outline="0" fieldPosition="0">
        <references count="3">
          <reference field="0" count="1" selected="0">
            <x v="8"/>
          </reference>
          <reference field="4" count="1">
            <x v="0"/>
          </reference>
          <reference field="7" count="1" selected="0">
            <x v="2"/>
          </reference>
        </references>
      </pivotArea>
    </format>
    <format dxfId="7">
      <pivotArea dataOnly="0" labelOnly="1" outline="0" fieldPosition="0">
        <references count="3">
          <reference field="0" count="1" selected="0">
            <x v="9"/>
          </reference>
          <reference field="4" count="1">
            <x v="0"/>
          </reference>
          <reference field="7" count="1" selected="0">
            <x v="2"/>
          </reference>
        </references>
      </pivotArea>
    </format>
    <format dxfId="6">
      <pivotArea dataOnly="0" labelOnly="1" outline="0" fieldPosition="0">
        <references count="3">
          <reference field="0" count="1" selected="0">
            <x v="10"/>
          </reference>
          <reference field="4" count="1">
            <x v="3"/>
          </reference>
          <reference field="7" count="1" selected="0">
            <x v="2"/>
          </reference>
        </references>
      </pivotArea>
    </format>
    <format dxfId="5">
      <pivotArea dataOnly="0" labelOnly="1" outline="0" fieldPosition="0">
        <references count="3">
          <reference field="0" count="1" selected="0">
            <x v="11"/>
          </reference>
          <reference field="4" count="1">
            <x v="2"/>
          </reference>
          <reference field="7" count="1" selected="0">
            <x v="2"/>
          </reference>
        </references>
      </pivotArea>
    </format>
    <format dxfId="4">
      <pivotArea dataOnly="0" labelOnly="1" outline="0" fieldPosition="0">
        <references count="3">
          <reference field="0" count="1" selected="0">
            <x v="12"/>
          </reference>
          <reference field="4" count="1">
            <x v="3"/>
          </reference>
          <reference field="7" count="1" selected="0">
            <x v="0"/>
          </reference>
        </references>
      </pivotArea>
    </format>
    <format dxfId="3">
      <pivotArea dataOnly="0" labelOnly="1" outline="0" fieldPosition="0">
        <references count="3">
          <reference field="0" count="1" selected="0">
            <x v="13"/>
          </reference>
          <reference field="4" count="1">
            <x v="1"/>
          </reference>
          <reference field="7" count="1" selected="0">
            <x v="0"/>
          </reference>
        </references>
      </pivotArea>
    </format>
    <format dxfId="2">
      <pivotArea dataOnly="0" labelOnly="1" outline="0" fieldPosition="0">
        <references count="3">
          <reference field="0" count="1" selected="0">
            <x v="14"/>
          </reference>
          <reference field="4" count="1">
            <x v="3"/>
          </reference>
          <reference field="7" count="1" selected="0">
            <x v="2"/>
          </reference>
        </references>
      </pivotArea>
    </format>
    <format dxfId="1">
      <pivotArea dataOnly="0" labelOnly="1" outline="0" fieldPosition="0">
        <references count="3">
          <reference field="0" count="1" selected="0">
            <x v="15"/>
          </reference>
          <reference field="4" count="1">
            <x v="3"/>
          </reference>
          <reference field="7" count="1" selected="0">
            <x v="2"/>
          </reference>
        </references>
      </pivotArea>
    </format>
    <format dxfId="0">
      <pivotArea dataOnly="0" labelOnly="1" outline="0" fieldPosition="0">
        <references count="1">
          <reference field="4294967294" count="2">
            <x v="0"/>
            <x v="1"/>
          </reference>
        </references>
      </pivotArea>
    </format>
  </formats>
  <conditionalFormats count="2">
    <conditionalFormat scope="data" priority="8">
      <pivotAreas count="1">
        <pivotArea outline="0" fieldPosition="0">
          <references count="1">
            <reference field="4294967294" count="1" selected="0">
              <x v="0"/>
            </reference>
          </references>
        </pivotArea>
      </pivotAreas>
    </conditionalFormat>
    <conditionalFormat priority="2">
      <pivotAreas count="1">
        <pivotArea outline="0" fieldPosition="0">
          <references count="1">
            <reference field="4294967294" count="1">
              <x v="0"/>
            </reference>
          </references>
        </pivotArea>
      </pivotAreas>
    </conditionalFormat>
  </conditionalFormats>
  <pivotTableStyleInfo name="PivotStyleDark5"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D08B4F-AB92-4268-B4EC-C0E484BC98BF}" name="PivotTable23" cacheId="6" applyNumberFormats="0" applyBorderFormats="0" applyFontFormats="0" applyPatternFormats="0" applyAlignmentFormats="0" applyWidthHeightFormats="1" dataCaption="Values" tag="b57d79d5-bb39-44db-b5f1-9c95c309c5a0" updatedVersion="7" minRefreshableVersion="5" useAutoFormatting="1" subtotalHiddenItems="1" itemPrintTitles="1" createdVersion="7" indent="0" outline="1" outlineData="1" multipleFieldFilters="0">
  <location ref="R16:R1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Profit Margin"/>
    <pivotHierarchy dragToData="1" caption="Average of Profit Margi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22CEF11-C9D9-43EE-89BD-B8071E53FB40}" name="PivotTable21" cacheId="4" applyNumberFormats="0" applyBorderFormats="0" applyFontFormats="0" applyPatternFormats="0" applyAlignmentFormats="0" applyWidthHeightFormats="1" dataCaption="Values" tag="1e544d30-2aa9-41fb-863f-5ca505e52f64" updatedVersion="7" minRefreshableVersion="5" useAutoFormatting="1" subtotalHiddenItems="1" itemPrintTitles="1" createdVersion="7" indent="0" outline="1" outlineData="1" multipleFieldFilters="0">
  <location ref="R10:R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D00F90A-6515-419D-90BA-9E9DBE7120C1}" name="PivotTable22" cacheId="5" applyNumberFormats="0" applyBorderFormats="0" applyFontFormats="0" applyPatternFormats="0" applyAlignmentFormats="0" applyWidthHeightFormats="1" dataCaption="Values" tag="381f93c9-b2a7-4cd3-80de-7b93a35fd8c0" updatedVersion="7" minRefreshableVersion="5" useAutoFormatting="1" subtotalHiddenItems="1" itemPrintTitles="1" createdVersion="7" indent="0" outline="1" outlineData="1" multipleFieldFilters="0">
  <location ref="R13:R1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
    <format dxfId="31">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6FB8749-2F9F-47AF-9915-CCE970823206}" name="PivotTable20" cacheId="3" applyNumberFormats="0" applyBorderFormats="0" applyFontFormats="0" applyPatternFormats="0" applyAlignmentFormats="0" applyWidthHeightFormats="1" dataCaption="Values" tag="17515015-4280-4cf3-8815-283571e98b94" updatedVersion="7" minRefreshableVersion="5" useAutoFormatting="1" subtotalHiddenItems="1" itemPrintTitles="1" createdVersion="7" indent="0" outline="1" outlineData="1" multipleFieldFilters="0">
  <location ref="R7:R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B53166-798E-49D1-B4DB-9BBC37F062A2}" name="PivotTable19" cacheId="2" applyNumberFormats="0" applyBorderFormats="0" applyFontFormats="0" applyPatternFormats="0" applyAlignmentFormats="0" applyWidthHeightFormats="1" dataCaption="Values" tag="45af05f3-33f7-4632-9bcb-141e210c6655" updatedVersion="7" minRefreshableVersion="5" useAutoFormatting="1" subtotalHiddenItems="1" itemPrintTitles="1" createdVersion="7" indent="0" outline="1" outlineData="1" multipleFieldFilters="0">
  <location ref="R3:R4" firstHeaderRow="1" firstDataRow="1" firstDataCol="0"/>
  <pivotFields count="1">
    <pivotField dataField="1" subtotalTop="0" showAll="0" defaultSubtotal="0"/>
  </pivotFields>
  <rowItems count="1">
    <i/>
  </rowItems>
  <colItems count="1">
    <i/>
  </colItems>
  <dataFields count="1">
    <dataField name="Sum of Sales Amount" fld="0" baseField="0" baseItem="0"/>
  </dataFields>
  <formats count="1">
    <format dxfId="32">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Data]"/>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4191259-305D-4D21-BE25-D49C3A9314D5}" autoFormatId="16" applyNumberFormats="0" applyBorderFormats="0" applyFontFormats="0" applyPatternFormats="0" applyAlignmentFormats="0" applyWidthHeightFormats="0">
  <queryTableRefresh nextId="14">
    <queryTableFields count="13">
      <queryTableField id="1" name="Date" tableColumnId="1"/>
      <queryTableField id="2" name="Store" tableColumnId="2"/>
      <queryTableField id="3" name="Region" tableColumnId="3"/>
      <queryTableField id="4" name="Product Category" tableColumnId="4"/>
      <queryTableField id="5" name="Product Name" tableColumnId="5"/>
      <queryTableField id="6" name="Units Sold" tableColumnId="6"/>
      <queryTableField id="7" name="Unit Price" tableColumnId="7"/>
      <queryTableField id="8" name="Sales Amount" tableColumnId="8"/>
      <queryTableField id="9" name="Cost Amount" tableColumnId="9"/>
      <queryTableField id="10" name="Profit Amount" tableColumnId="10"/>
      <queryTableField id="11" name="Profit Margin" tableColumnId="11"/>
      <queryTableField id="12" name="Date (Month Index)" tableColumnId="12"/>
      <queryTableField id="13" name="Date (Month)" tableColumnId="13"/>
    </queryTableFields>
  </queryTableRefresh>
  <extLst>
    <ext xmlns:x15="http://schemas.microsoft.com/office/spreadsheetml/2010/11/main" uri="{883FBD77-0823-4a55-B5E3-86C4891E6966}">
      <x15:queryTable sourceDataName="Query - Sales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06338DC-37BA-497C-BCE1-CC43B2026E28}" autoFormatId="16" applyNumberFormats="0" applyBorderFormats="0" applyFontFormats="0" applyPatternFormats="0" applyAlignmentFormats="0" applyWidthHeightFormats="0">
  <queryTableRefresh nextId="11" unboundColumnsRight="1">
    <queryTableFields count="9">
      <queryTableField id="1" name="Product Name" tableColumnId="1"/>
      <queryTableField id="2" name="Product Category" tableColumnId="2"/>
      <queryTableField id="3" name="Current Stock" tableColumnId="3"/>
      <queryTableField id="4" name="Reorder Level" tableColumnId="4"/>
      <queryTableField id="5" name="Supplier Name" tableColumnId="5"/>
      <queryTableField id="6" name="Lead Time (days)" tableColumnId="6"/>
      <queryTableField id="7" name="Sum of Sales Data.Profit Margin" tableColumnId="7"/>
      <queryTableField id="10" name="Stock Status" tableColumnId="9"/>
      <queryTableField id="8" dataBound="0" tableColumnId="8"/>
    </queryTableFields>
  </queryTableRefresh>
  <extLst>
    <ext xmlns:x15="http://schemas.microsoft.com/office/spreadsheetml/2010/11/main" uri="{883FBD77-0823-4a55-B5E3-86C4891E6966}">
      <x15:queryTable sourceDataName="Query - Inventory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BE299A-0289-443D-9CDB-F77BE382E85A}" sourceName="[Sales Data].[Region]">
  <pivotTables>
    <pivotTable tabId="4" name="Monthly Sales Trends"/>
    <pivotTable tabId="4" name="Monthly Profit Trends"/>
    <pivotTable tabId="4" name="Sales by Regions"/>
    <pivotTable tabId="4" name="Sales by Category"/>
    <pivotTable tabId="4" name="PivotTable24"/>
    <pivotTable tabId="4" name="PivotTable1"/>
    <pivotTable tabId="4" name="Total Profit"/>
    <pivotTable tabId="4" name="Total Profit Margin"/>
    <pivotTable tabId="4" name="Total Sales"/>
    <pivotTable tabId="4" name="Total Units"/>
    <pivotTable tabId="8" name="PivotTable19"/>
    <pivotTable tabId="8" name="PivotTable20"/>
    <pivotTable tabId="8" name="PivotTable21"/>
    <pivotTable tabId="8" name="PivotTable22"/>
    <pivotTable tabId="8" name="PivotTable23"/>
    <pivotTable tabId="4" name="Low Stock Items"/>
    <pivotTable tabId="4" name="PivotTable17"/>
  </pivotTables>
  <data>
    <olap pivotCacheId="2045432770">
      <levels count="2">
        <level uniqueName="[Sales Data].[Region].[(All)]" sourceCaption="(All)" count="0"/>
        <level uniqueName="[Sales Data].[Region].[Region]" sourceCaption="Region" count="4">
          <ranges>
            <range startItem="0">
              <i n="[Sales Data].[Region].&amp;[East]" c="East"/>
              <i n="[Sales Data].[Region].&amp;[North]" c="North"/>
              <i n="[Sales Data].[Region].&amp;[South]" c="South"/>
              <i n="[Sales Data].[Region].&amp;[West]" c="West"/>
            </range>
          </ranges>
        </level>
      </levels>
      <selections count="1">
        <selection n="[Sales 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06EFCD58-82F3-4162-935C-99B9C0269CB2}" sourceName="[Sales Data].[Store]">
  <pivotTables>
    <pivotTable tabId="4" name="Monthly Sales Trends"/>
    <pivotTable tabId="4" name="Monthly Profit Trends"/>
    <pivotTable tabId="4" name="Sales by Regions"/>
    <pivotTable tabId="4" name="Sales by Category"/>
    <pivotTable tabId="4" name="PivotTable24"/>
    <pivotTable tabId="4" name="PivotTable1"/>
  </pivotTables>
  <data>
    <olap pivotCacheId="2045432770">
      <levels count="2">
        <level uniqueName="[Sales Data].[Store].[(All)]" sourceCaption="(All)" count="0"/>
        <level uniqueName="[Sales Data].[Store].[Store]" sourceCaption="Store" count="10">
          <ranges>
            <range startItem="0">
              <i n="[Sales Data].[Store].&amp;[E101]" c="E101"/>
              <i n="[Sales Data].[Store].&amp;[E102]" c="E102"/>
              <i n="[Sales Data].[Store].&amp;[E103]" c="E103"/>
              <i n="[Sales Data].[Store].&amp;[N301]" c="N301"/>
              <i n="[Sales Data].[Store].&amp;[N302]" c="N302"/>
              <i n="[Sales Data].[Store].&amp;[S401]" c="S401"/>
              <i n="[Sales Data].[Store].&amp;[S402]" c="S402"/>
              <i n="[Sales Data].[Store].&amp;[W201]" c="W201"/>
              <i n="[Sales Data].[Store].&amp;[W202]" c="W202"/>
              <i n="[Sales Data].[Store].&amp;[W203]" c="W203"/>
            </range>
          </ranges>
        </level>
      </levels>
      <selections count="1">
        <selection n="[Sales Data].[Stor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A22CE39-5AF6-4639-B741-B6BA92371B31}" sourceName="[Sales Data].[Product Category]">
  <pivotTables>
    <pivotTable tabId="4" name="Monthly Sales Trends"/>
    <pivotTable tabId="4" name="Monthly Profit Trends"/>
    <pivotTable tabId="4" name="Sales by Regions"/>
    <pivotTable tabId="4" name="Sales by Category"/>
    <pivotTable tabId="4" name="Total Sales"/>
    <pivotTable tabId="8" name="PivotTable19"/>
    <pivotTable tabId="4" name="PivotTable24"/>
    <pivotTable tabId="4" name="PivotTable1"/>
  </pivotTables>
  <data>
    <olap pivotCacheId="2045432770">
      <levels count="2">
        <level uniqueName="[Sales Data].[Product Category].[(All)]" sourceCaption="(All)" count="0"/>
        <level uniqueName="[Sales Data].[Product Category].[Product Category]" sourceCaption="Product Category" count="4">
          <ranges>
            <range startItem="0">
              <i n="[Sales Data].[Product Category].&amp;[Clothing]" c="Clothing"/>
              <i n="[Sales Data].[Product Category].&amp;[Electronics]" c="Electronics"/>
              <i n="[Sales Data].[Product Category].&amp;[Furniture]" c="Furniture"/>
              <i n="[Sales Data].[Product Category].&amp;[Grocery]" c="Grocery"/>
            </range>
          </ranges>
        </level>
      </levels>
      <selections count="1">
        <selection n="[Sales Data].[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5518C8-9646-414E-A748-939873E60CB1}" cache="Slicer_Region" caption="Region" columnCount="4" level="1" rowHeight="241300"/>
  <slicer name="Store" xr10:uid="{41511B09-BF0E-48A4-9943-A5F60A29C6FA}" cache="Slicer_Store" caption="Store" columnCount="4" level="1" rowHeight="241300"/>
  <slicer name="Product Category" xr10:uid="{3DFEEBB1-5FF9-4330-8EFB-D44605559A3A}" cache="Slicer_Product_Category" caption="Product Category" columnCount="4"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868FF1B-2003-4592-9700-FE9321D3ECF8}" cache="Slicer_Region" caption="Region" columnCount="2" level="1" style="SlicerStyleDark6" rowHeight="241300"/>
  <slicer name="Store 1" xr10:uid="{956FA919-A04B-4E43-96CE-DD5A433E687C}" cache="Slicer_Store" caption="Store" startItem="5" level="1" style="SlicerStyleDark2" rowHeight="241300"/>
  <slicer name="Product Category 1" xr10:uid="{32804EC7-84A3-4698-8318-36D29DFD71B3}" cache="Slicer_Product_Category" caption="Product Category" startItem="2" level="1" style="SlicerStyleDark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3F642F-239F-4FE2-86DC-9EE8F8A97C44}" name="Table7" displayName="Table7" ref="A45:E61" totalsRowShown="0" headerRowDxfId="53" headerRowBorderDxfId="52" tableBorderDxfId="51" totalsRowBorderDxfId="50">
  <autoFilter ref="A45:E61" xr:uid="{593F642F-239F-4FE2-86DC-9EE8F8A97C44}"/>
  <tableColumns count="5">
    <tableColumn id="1" xr3:uid="{2D2C1558-159A-4877-8FCE-B9C74BE5739F}" name="Product Name" dataDxfId="49"/>
    <tableColumn id="2" xr3:uid="{49A694C9-1D5E-4E38-BBBB-DA9D9CF94ABE}" name="Supplier Name" dataDxfId="48"/>
    <tableColumn id="3" xr3:uid="{BA52519F-2934-4167-9856-132986D59687}" name="Current Stock" dataDxfId="47"/>
    <tableColumn id="4" xr3:uid="{D843DDF4-B5EE-4C58-80AF-84FE9401ACD2}" name="Reorder Level" dataDxfId="46"/>
    <tableColumn id="5" xr3:uid="{49A989C7-E61C-4082-B2BB-C778FC03CEFB}" name="Sum of Sales Data.Profit Margin"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94473E-2439-4201-BBC1-CD19FF133298}" name="Sales_Data" displayName="Sales_Data" ref="A1:M261" tableType="queryTable" totalsRowShown="0">
  <autoFilter ref="A1:M261" xr:uid="{0394473E-2439-4201-BBC1-CD19FF133298}"/>
  <tableColumns count="13">
    <tableColumn id="1" xr3:uid="{1B627536-52AE-49FE-B282-FEEB802A7F04}" uniqueName="1" name="Date" queryTableFieldId="1" dataDxfId="44"/>
    <tableColumn id="2" xr3:uid="{D0843976-A7AB-450B-AEAC-8003CD94681E}" uniqueName="2" name="Store" queryTableFieldId="2" dataDxfId="43"/>
    <tableColumn id="3" xr3:uid="{02B13D52-8945-49FF-B5B6-A50CDFD70394}" uniqueName="3" name="Region" queryTableFieldId="3" dataDxfId="42"/>
    <tableColumn id="4" xr3:uid="{2ECF2501-529E-48BC-A405-3E8D491C8B70}" uniqueName="4" name="Product Category" queryTableFieldId="4" dataDxfId="41"/>
    <tableColumn id="5" xr3:uid="{2A195716-F421-4FC5-A671-68B53D93AE16}" uniqueName="5" name="Product Name" queryTableFieldId="5" dataDxfId="40"/>
    <tableColumn id="6" xr3:uid="{89B5A976-C5A2-4930-94BB-74269EEDDB26}" uniqueName="6" name="Units Sold" queryTableFieldId="6"/>
    <tableColumn id="7" xr3:uid="{7CD635A2-5518-4BAE-ACDC-19700FD38A85}" uniqueName="7" name="Unit Price" queryTableFieldId="7"/>
    <tableColumn id="8" xr3:uid="{A4BD2746-A1B0-4900-97D3-4CDA77C137C9}" uniqueName="8" name="Sales Amount" queryTableFieldId="8"/>
    <tableColumn id="9" xr3:uid="{BB6ACEC7-B197-4D41-9A24-5C2EC3D9063E}" uniqueName="9" name="Cost Amount" queryTableFieldId="9"/>
    <tableColumn id="10" xr3:uid="{52765461-946C-4138-94D5-29467DA1CE16}" uniqueName="10" name="Profit Amount" queryTableFieldId="10"/>
    <tableColumn id="11" xr3:uid="{50C9500C-14E5-428E-976B-95CF252DDDA5}" uniqueName="11" name="Profit Margin" queryTableFieldId="11"/>
    <tableColumn id="12" xr3:uid="{605CA414-FBED-4E35-BE32-84BAD0000BCE}" uniqueName="12" name="Date (Month Index)" queryTableFieldId="12"/>
    <tableColumn id="13" xr3:uid="{09BC26C8-0911-44BF-BCCB-8AEA81111E5C}" uniqueName="13" name="Date (Month)"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E6EAE6-3772-40DA-9CA0-D78B4C0BC310}" name="Inventory_Data" displayName="Inventory_Data" ref="A1:I17" tableType="queryTable" totalsRowShown="0">
  <autoFilter ref="A1:I17" xr:uid="{5EE6EAE6-3772-40DA-9CA0-D78B4C0BC310}"/>
  <sortState xmlns:xlrd2="http://schemas.microsoft.com/office/spreadsheetml/2017/richdata2" ref="A2:I17">
    <sortCondition ref="A1:A17"/>
  </sortState>
  <tableColumns count="9">
    <tableColumn id="1" xr3:uid="{30D62A73-81B0-4E45-B7EF-A98A46997E5A}" uniqueName="1" name="Product Name" queryTableFieldId="1" dataDxfId="39"/>
    <tableColumn id="2" xr3:uid="{D7126D7E-C646-44C7-B1FF-15D973135AC3}" uniqueName="2" name="Product Category" queryTableFieldId="2" dataDxfId="38"/>
    <tableColumn id="3" xr3:uid="{22C5B2B7-F1E9-4D16-AA44-F025D9E1E4CF}" uniqueName="3" name="Current Stock" queryTableFieldId="3"/>
    <tableColumn id="4" xr3:uid="{FDF31FEA-5390-4EE6-85A8-33BA6D827AC1}" uniqueName="4" name="Reorder Level" queryTableFieldId="4"/>
    <tableColumn id="5" xr3:uid="{5F1E8484-28DC-4129-BCCB-9A3A88BD39D7}" uniqueName="5" name="Supplier Name" queryTableFieldId="5" dataDxfId="37"/>
    <tableColumn id="6" xr3:uid="{B8D44031-13F9-4C76-9338-FDC3AB7C7396}" uniqueName="6" name="Lead Time (days)" queryTableFieldId="6"/>
    <tableColumn id="7" xr3:uid="{3ECDC997-21B8-4040-946F-CFBD45FB373F}" uniqueName="7" name="Sum of Sales Data.Profit Margin" queryTableFieldId="7" dataDxfId="36"/>
    <tableColumn id="9" xr3:uid="{32F986C1-F802-468E-B27F-8531BE8DC226}" uniqueName="9" name="Stock Status" queryTableFieldId="10" dataDxfId="35"/>
    <tableColumn id="8" xr3:uid="{0008FB6B-B124-49CC-98F8-50FF00CDB859}" uniqueName="8" name="Column1" queryTableFieldId="8" dataDxfId="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B979A7F1-ACCD-473A-8CDD-289ED44E013A}" sourceName="[Sales Data].[Date]">
  <pivotTables>
    <pivotTable tabId="4" name="Monthly Profit Trends"/>
    <pivotTable tabId="8" name="PivotTable19"/>
    <pivotTable tabId="8" name="PivotTable20"/>
    <pivotTable tabId="8" name="PivotTable21"/>
    <pivotTable tabId="8" name="PivotTable22"/>
    <pivotTable tabId="8" name="PivotTable23"/>
    <pivotTable tabId="4" name="Low Stock Items"/>
    <pivotTable tabId="4" name="Monthly Sales Trends"/>
    <pivotTable tabId="4" name="PivotTable1"/>
    <pivotTable tabId="4" name="PivotTable17"/>
    <pivotTable tabId="4" name="PivotTable24"/>
    <pivotTable tabId="4" name="Sales by Category"/>
    <pivotTable tabId="4" name="Sales by Regions"/>
    <pivotTable tabId="4" name="Total Profit"/>
    <pivotTable tabId="4" name="Total Profit Margin"/>
    <pivotTable tabId="4" name="Total Sales"/>
    <pivotTable tabId="4" name="Total Units"/>
  </pivotTables>
  <state minimalRefreshVersion="6" lastRefreshVersion="6" pivotCacheId="31793780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C665533-7BA4-4395-AB66-BF612FE36C0D}" cache="Timeline_Date" caption="Date" level="2" selectionLevel="2" scrollPosition="2024-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5.xml"/><Relationship Id="rId7" Type="http://schemas.openxmlformats.org/officeDocument/2006/relationships/printerSettings" Target="../printerSettings/printerSettings3.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10" Type="http://schemas.microsoft.com/office/2011/relationships/timeline" Target="../timelines/timeline1.xml"/><Relationship Id="rId4" Type="http://schemas.openxmlformats.org/officeDocument/2006/relationships/pivotTable" Target="../pivotTables/pivotTable16.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345A-287E-4A30-931B-84F7419F4B85}">
  <dimension ref="A3:J66"/>
  <sheetViews>
    <sheetView topLeftCell="A28" zoomScale="115" zoomScaleNormal="115" workbookViewId="0">
      <selection activeCell="R22" sqref="R22"/>
    </sheetView>
  </sheetViews>
  <sheetFormatPr defaultRowHeight="14.5" x14ac:dyDescent="0.35"/>
  <cols>
    <col min="1" max="1" width="12.36328125" bestFit="1" customWidth="1"/>
    <col min="2" max="3" width="16.7265625" bestFit="1" customWidth="1"/>
    <col min="4" max="4" width="9.90625" bestFit="1" customWidth="1"/>
    <col min="5" max="5" width="18.7265625" bestFit="1" customWidth="1"/>
    <col min="6" max="6" width="12.36328125" bestFit="1" customWidth="1"/>
    <col min="7" max="7" width="18.36328125" bestFit="1" customWidth="1"/>
    <col min="8" max="8" width="16.7265625" bestFit="1" customWidth="1"/>
    <col min="9" max="9" width="13" bestFit="1" customWidth="1"/>
    <col min="10" max="10" width="19.26953125" bestFit="1" customWidth="1"/>
    <col min="11" max="11" width="23.453125" bestFit="1" customWidth="1"/>
    <col min="12" max="15" width="8.90625" bestFit="1" customWidth="1"/>
    <col min="16" max="16" width="9.90625" bestFit="1" customWidth="1"/>
    <col min="17" max="19" width="9.453125" bestFit="1" customWidth="1"/>
    <col min="20" max="20" width="9.90625" bestFit="1" customWidth="1"/>
    <col min="21" max="27" width="9.453125" bestFit="1" customWidth="1"/>
    <col min="28" max="28" width="9.90625" bestFit="1" customWidth="1"/>
    <col min="29" max="31" width="9.453125" bestFit="1" customWidth="1"/>
    <col min="32" max="32" width="9.90625" bestFit="1" customWidth="1"/>
    <col min="33" max="35" width="9.453125" bestFit="1" customWidth="1"/>
    <col min="36" max="36" width="9.90625" bestFit="1" customWidth="1"/>
    <col min="37" max="37" width="9.453125" bestFit="1" customWidth="1"/>
    <col min="38" max="39" width="8.90625" bestFit="1" customWidth="1"/>
    <col min="40" max="40" width="9.90625" bestFit="1" customWidth="1"/>
    <col min="41" max="43" width="8.90625" bestFit="1" customWidth="1"/>
    <col min="44" max="44" width="9.90625" bestFit="1" customWidth="1"/>
    <col min="45" max="46" width="8.90625" bestFit="1" customWidth="1"/>
    <col min="47" max="48" width="9.90625" bestFit="1" customWidth="1"/>
    <col min="49" max="50" width="9.453125" bestFit="1" customWidth="1"/>
    <col min="51" max="52" width="9.90625" bestFit="1" customWidth="1"/>
    <col min="53" max="54" width="9.453125" bestFit="1" customWidth="1"/>
    <col min="55" max="56" width="9.90625" bestFit="1" customWidth="1"/>
    <col min="57" max="57" width="9.453125" bestFit="1" customWidth="1"/>
    <col min="58" max="71" width="9.90625" bestFit="1" customWidth="1"/>
    <col min="72" max="72" width="10.90625" bestFit="1" customWidth="1"/>
  </cols>
  <sheetData>
    <row r="3" spans="2:7" x14ac:dyDescent="0.35">
      <c r="B3" t="s">
        <v>68</v>
      </c>
      <c r="D3" t="s">
        <v>57</v>
      </c>
      <c r="F3" s="4" t="s">
        <v>53</v>
      </c>
      <c r="G3" t="s">
        <v>57</v>
      </c>
    </row>
    <row r="4" spans="2:7" x14ac:dyDescent="0.35">
      <c r="B4" s="11">
        <v>0.29936633726899387</v>
      </c>
      <c r="D4" s="12">
        <v>1122048</v>
      </c>
      <c r="F4" s="5" t="s">
        <v>64</v>
      </c>
      <c r="G4" s="6">
        <v>377742</v>
      </c>
    </row>
    <row r="5" spans="2:7" x14ac:dyDescent="0.35">
      <c r="F5" s="5" t="s">
        <v>65</v>
      </c>
      <c r="G5" s="6">
        <v>607875</v>
      </c>
    </row>
    <row r="6" spans="2:7" x14ac:dyDescent="0.35">
      <c r="D6" t="s">
        <v>59</v>
      </c>
      <c r="F6" s="5" t="s">
        <v>66</v>
      </c>
      <c r="G6" s="6">
        <v>136431</v>
      </c>
    </row>
    <row r="7" spans="2:7" x14ac:dyDescent="0.35">
      <c r="D7" s="7">
        <v>335903.4</v>
      </c>
      <c r="F7" s="5" t="s">
        <v>54</v>
      </c>
      <c r="G7" s="6">
        <v>1122048</v>
      </c>
    </row>
    <row r="9" spans="2:7" x14ac:dyDescent="0.35">
      <c r="D9" t="s">
        <v>60</v>
      </c>
    </row>
    <row r="10" spans="2:7" x14ac:dyDescent="0.35">
      <c r="D10" s="8">
        <v>7102</v>
      </c>
      <c r="F10" s="4" t="s">
        <v>53</v>
      </c>
      <c r="G10" t="s">
        <v>55</v>
      </c>
    </row>
    <row r="11" spans="2:7" x14ac:dyDescent="0.35">
      <c r="F11" s="5" t="s">
        <v>64</v>
      </c>
      <c r="G11" s="6">
        <v>112611.6</v>
      </c>
    </row>
    <row r="12" spans="2:7" x14ac:dyDescent="0.35">
      <c r="D12" t="s">
        <v>61</v>
      </c>
      <c r="F12" s="5" t="s">
        <v>65</v>
      </c>
      <c r="G12" s="6">
        <v>182362.5</v>
      </c>
    </row>
    <row r="13" spans="2:7" x14ac:dyDescent="0.35">
      <c r="D13">
        <v>4</v>
      </c>
      <c r="F13" s="5" t="s">
        <v>66</v>
      </c>
      <c r="G13" s="6">
        <v>40929.300000000003</v>
      </c>
    </row>
    <row r="14" spans="2:7" x14ac:dyDescent="0.35">
      <c r="F14" s="5" t="s">
        <v>54</v>
      </c>
      <c r="G14" s="6">
        <v>335903.4</v>
      </c>
    </row>
    <row r="18" spans="1:10" x14ac:dyDescent="0.35">
      <c r="I18" s="4" t="s">
        <v>53</v>
      </c>
      <c r="J18" t="s">
        <v>55</v>
      </c>
    </row>
    <row r="19" spans="1:10" x14ac:dyDescent="0.35">
      <c r="I19" s="5" t="s">
        <v>30</v>
      </c>
      <c r="J19" s="6">
        <v>26646</v>
      </c>
    </row>
    <row r="20" spans="1:10" x14ac:dyDescent="0.35">
      <c r="I20" s="5" t="s">
        <v>44</v>
      </c>
      <c r="J20" s="6">
        <v>36303.5</v>
      </c>
    </row>
    <row r="21" spans="1:10" x14ac:dyDescent="0.35">
      <c r="I21" s="5" t="s">
        <v>43</v>
      </c>
      <c r="J21" s="6">
        <v>73595</v>
      </c>
    </row>
    <row r="22" spans="1:10" x14ac:dyDescent="0.35">
      <c r="I22" s="5" t="s">
        <v>14</v>
      </c>
      <c r="J22" s="6">
        <v>49272</v>
      </c>
    </row>
    <row r="23" spans="1:10" x14ac:dyDescent="0.35">
      <c r="I23" s="5" t="s">
        <v>41</v>
      </c>
      <c r="J23" s="6">
        <v>38451</v>
      </c>
    </row>
    <row r="24" spans="1:10" x14ac:dyDescent="0.35">
      <c r="I24" s="5" t="s">
        <v>54</v>
      </c>
      <c r="J24" s="6">
        <v>224267.5</v>
      </c>
    </row>
    <row r="28" spans="1:10" x14ac:dyDescent="0.35">
      <c r="A28" s="4" t="s">
        <v>53</v>
      </c>
      <c r="B28" t="s">
        <v>57</v>
      </c>
    </row>
    <row r="29" spans="1:10" x14ac:dyDescent="0.35">
      <c r="A29" s="5" t="s">
        <v>12</v>
      </c>
      <c r="B29" s="6">
        <v>661215</v>
      </c>
    </row>
    <row r="30" spans="1:10" x14ac:dyDescent="0.35">
      <c r="A30" s="5" t="s">
        <v>24</v>
      </c>
      <c r="B30" s="6">
        <v>194395</v>
      </c>
    </row>
    <row r="31" spans="1:10" x14ac:dyDescent="0.35">
      <c r="A31" s="5" t="s">
        <v>16</v>
      </c>
      <c r="B31" s="6">
        <v>39098</v>
      </c>
    </row>
    <row r="32" spans="1:10" x14ac:dyDescent="0.35">
      <c r="A32" s="5" t="s">
        <v>20</v>
      </c>
      <c r="B32" s="6">
        <v>227340</v>
      </c>
    </row>
    <row r="33" spans="1:7" x14ac:dyDescent="0.35">
      <c r="A33" s="5" t="s">
        <v>54</v>
      </c>
      <c r="B33" s="6">
        <v>1122048</v>
      </c>
    </row>
    <row r="36" spans="1:7" x14ac:dyDescent="0.35">
      <c r="A36" s="4" t="s">
        <v>53</v>
      </c>
      <c r="B36" t="s">
        <v>57</v>
      </c>
    </row>
    <row r="37" spans="1:7" x14ac:dyDescent="0.35">
      <c r="A37" s="5" t="s">
        <v>25</v>
      </c>
      <c r="B37" s="6">
        <v>194395</v>
      </c>
    </row>
    <row r="38" spans="1:7" x14ac:dyDescent="0.35">
      <c r="A38" s="5" t="s">
        <v>13</v>
      </c>
      <c r="B38" s="6">
        <v>661215</v>
      </c>
    </row>
    <row r="39" spans="1:7" x14ac:dyDescent="0.35">
      <c r="A39" s="5" t="s">
        <v>21</v>
      </c>
      <c r="B39" s="6">
        <v>227340</v>
      </c>
    </row>
    <row r="40" spans="1:7" x14ac:dyDescent="0.35">
      <c r="A40" s="5" t="s">
        <v>17</v>
      </c>
      <c r="B40" s="6">
        <v>39098</v>
      </c>
    </row>
    <row r="41" spans="1:7" x14ac:dyDescent="0.35">
      <c r="A41" s="5" t="s">
        <v>54</v>
      </c>
      <c r="B41" s="6">
        <v>1122048</v>
      </c>
    </row>
    <row r="45" spans="1:7" x14ac:dyDescent="0.35">
      <c r="A45" s="9" t="s">
        <v>4</v>
      </c>
      <c r="B45" s="9" t="s">
        <v>47</v>
      </c>
      <c r="C45" s="9" t="s">
        <v>45</v>
      </c>
      <c r="D45" s="9" t="s">
        <v>46</v>
      </c>
      <c r="E45" s="9" t="s">
        <v>69</v>
      </c>
    </row>
    <row r="46" spans="1:7" x14ac:dyDescent="0.35">
      <c r="A46" s="2" t="s">
        <v>14</v>
      </c>
      <c r="B46" s="2" t="s">
        <v>49</v>
      </c>
      <c r="C46" s="2">
        <v>45</v>
      </c>
      <c r="D46" s="2">
        <v>20</v>
      </c>
      <c r="E46">
        <v>7.2857142857142865</v>
      </c>
      <c r="F46" s="4" t="s">
        <v>53</v>
      </c>
      <c r="G46" t="s">
        <v>56</v>
      </c>
    </row>
    <row r="47" spans="1:7" x14ac:dyDescent="0.35">
      <c r="A47" s="3" t="s">
        <v>43</v>
      </c>
      <c r="B47" s="3" t="s">
        <v>50</v>
      </c>
      <c r="C47" s="3">
        <v>12</v>
      </c>
      <c r="D47" s="3">
        <v>15</v>
      </c>
      <c r="E47">
        <v>6.7609195402298861</v>
      </c>
      <c r="F47" s="5" t="s">
        <v>25</v>
      </c>
      <c r="G47" s="13">
        <v>0.25135280288770506</v>
      </c>
    </row>
    <row r="48" spans="1:7" x14ac:dyDescent="0.35">
      <c r="A48" s="2" t="s">
        <v>44</v>
      </c>
      <c r="B48" s="2" t="s">
        <v>51</v>
      </c>
      <c r="C48" s="2">
        <v>60</v>
      </c>
      <c r="D48" s="2">
        <v>25</v>
      </c>
      <c r="E48">
        <v>6.7777777777777786</v>
      </c>
      <c r="F48" s="5" t="s">
        <v>13</v>
      </c>
      <c r="G48" s="13">
        <v>0.24843042852068464</v>
      </c>
    </row>
    <row r="49" spans="1:7" x14ac:dyDescent="0.35">
      <c r="A49" s="3" t="s">
        <v>41</v>
      </c>
      <c r="B49" s="3" t="s">
        <v>52</v>
      </c>
      <c r="C49" s="3">
        <v>18</v>
      </c>
      <c r="D49" s="3">
        <v>12</v>
      </c>
      <c r="E49">
        <v>6.8174603174603181</v>
      </c>
      <c r="F49" s="5" t="s">
        <v>21</v>
      </c>
      <c r="G49" s="13">
        <v>0.24985159950700045</v>
      </c>
    </row>
    <row r="50" spans="1:7" x14ac:dyDescent="0.35">
      <c r="A50" s="2" t="s">
        <v>39</v>
      </c>
      <c r="B50" s="2" t="s">
        <v>49</v>
      </c>
      <c r="C50" s="2">
        <v>50</v>
      </c>
      <c r="D50" s="2">
        <v>20</v>
      </c>
      <c r="E50">
        <v>7.2285714285714295</v>
      </c>
      <c r="F50" s="5" t="s">
        <v>17</v>
      </c>
      <c r="G50" s="13">
        <v>0.25036516908460965</v>
      </c>
    </row>
    <row r="51" spans="1:7" x14ac:dyDescent="0.35">
      <c r="A51" s="3" t="s">
        <v>22</v>
      </c>
      <c r="B51" s="3" t="s">
        <v>50</v>
      </c>
      <c r="C51" s="3">
        <v>8</v>
      </c>
      <c r="D51" s="3">
        <v>10</v>
      </c>
      <c r="E51">
        <v>6.8571428571428577</v>
      </c>
      <c r="F51" s="5" t="s">
        <v>54</v>
      </c>
      <c r="G51" s="13">
        <v>1</v>
      </c>
    </row>
    <row r="52" spans="1:7" x14ac:dyDescent="0.35">
      <c r="A52" s="2" t="s">
        <v>30</v>
      </c>
      <c r="B52" s="2" t="s">
        <v>51</v>
      </c>
      <c r="C52" s="2">
        <v>14</v>
      </c>
      <c r="D52" s="2">
        <v>12</v>
      </c>
      <c r="E52">
        <v>6.8571428571428577</v>
      </c>
    </row>
    <row r="53" spans="1:7" x14ac:dyDescent="0.35">
      <c r="A53" s="3" t="s">
        <v>35</v>
      </c>
      <c r="B53" s="3" t="s">
        <v>52</v>
      </c>
      <c r="C53" s="3">
        <v>35</v>
      </c>
      <c r="D53" s="3">
        <v>18</v>
      </c>
      <c r="E53">
        <v>6.8571428571428577</v>
      </c>
    </row>
    <row r="54" spans="1:7" x14ac:dyDescent="0.35">
      <c r="A54" s="2" t="s">
        <v>40</v>
      </c>
      <c r="B54" s="2" t="s">
        <v>49</v>
      </c>
      <c r="C54" s="2">
        <v>25</v>
      </c>
      <c r="D54" s="2">
        <v>15</v>
      </c>
      <c r="E54">
        <v>7.3956043956043969</v>
      </c>
    </row>
    <row r="55" spans="1:7" x14ac:dyDescent="0.35">
      <c r="A55" s="3" t="s">
        <v>26</v>
      </c>
      <c r="B55" s="3" t="s">
        <v>50</v>
      </c>
      <c r="C55" s="3">
        <v>5</v>
      </c>
      <c r="D55" s="3">
        <v>12</v>
      </c>
      <c r="E55">
        <v>6.8571428571428577</v>
      </c>
    </row>
    <row r="56" spans="1:7" x14ac:dyDescent="0.35">
      <c r="A56" s="2" t="s">
        <v>36</v>
      </c>
      <c r="B56" s="2" t="s">
        <v>51</v>
      </c>
      <c r="C56" s="2">
        <v>40</v>
      </c>
      <c r="D56" s="2">
        <v>20</v>
      </c>
      <c r="E56">
        <v>6.8571428571428577</v>
      </c>
    </row>
    <row r="57" spans="1:7" x14ac:dyDescent="0.35">
      <c r="A57" s="3" t="s">
        <v>32</v>
      </c>
      <c r="B57" s="3" t="s">
        <v>52</v>
      </c>
      <c r="C57" s="3">
        <v>10</v>
      </c>
      <c r="D57" s="3">
        <v>15</v>
      </c>
      <c r="E57">
        <v>6.8571428571428577</v>
      </c>
    </row>
    <row r="58" spans="1:7" x14ac:dyDescent="0.35">
      <c r="A58" s="2" t="s">
        <v>18</v>
      </c>
      <c r="B58" s="2" t="s">
        <v>49</v>
      </c>
      <c r="C58" s="2">
        <v>100</v>
      </c>
      <c r="D58" s="2">
        <v>30</v>
      </c>
      <c r="E58">
        <v>7.2857142857142874</v>
      </c>
    </row>
    <row r="59" spans="1:7" x14ac:dyDescent="0.35">
      <c r="A59" s="3" t="s">
        <v>28</v>
      </c>
      <c r="B59" s="3" t="s">
        <v>50</v>
      </c>
      <c r="C59" s="3">
        <v>60</v>
      </c>
      <c r="D59" s="3">
        <v>25</v>
      </c>
      <c r="E59">
        <v>6.8571428571428585</v>
      </c>
    </row>
    <row r="60" spans="1:7" x14ac:dyDescent="0.35">
      <c r="A60" s="2" t="s">
        <v>33</v>
      </c>
      <c r="B60" s="2" t="s">
        <v>51</v>
      </c>
      <c r="C60" s="2">
        <v>80</v>
      </c>
      <c r="D60" s="2">
        <v>25</v>
      </c>
      <c r="E60">
        <v>6.8571428571428585</v>
      </c>
    </row>
    <row r="61" spans="1:7" x14ac:dyDescent="0.35">
      <c r="A61" s="10" t="s">
        <v>37</v>
      </c>
      <c r="B61" s="10" t="s">
        <v>52</v>
      </c>
      <c r="C61" s="10">
        <v>90</v>
      </c>
      <c r="D61" s="10">
        <v>30</v>
      </c>
      <c r="E61">
        <v>6.8571428571428585</v>
      </c>
    </row>
    <row r="65" spans="2:4" x14ac:dyDescent="0.35">
      <c r="B65" t="s">
        <v>58</v>
      </c>
    </row>
    <row r="66" spans="2:4" x14ac:dyDescent="0.35">
      <c r="B66" s="7">
        <v>1122048</v>
      </c>
      <c r="D66">
        <f>GETPIVOTDATA("[Measures].[Total Sales]",$B$65)</f>
        <v>1122048</v>
      </c>
    </row>
  </sheetData>
  <conditionalFormatting sqref="A46:D61">
    <cfRule type="expression" dxfId="55" priority="1">
      <formula>$C46&lt;$D46</formula>
    </cfRule>
  </conditionalFormatting>
  <pageMargins left="0.7" right="0.7" top="0.75" bottom="0.75" header="0.3" footer="0.3"/>
  <pageSetup orientation="portrait" r:id="rId13"/>
  <drawing r:id="rId14"/>
  <tableParts count="1">
    <tablePart r:id="rId15"/>
  </tableParts>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308CA-E636-46A3-A460-152F840F31EF}">
  <dimension ref="A1:M261"/>
  <sheetViews>
    <sheetView topLeftCell="A94" workbookViewId="0">
      <selection activeCell="D115" sqref="D115"/>
    </sheetView>
  </sheetViews>
  <sheetFormatPr defaultRowHeight="14.5" x14ac:dyDescent="0.35"/>
  <cols>
    <col min="1" max="1" width="9.453125" bestFit="1" customWidth="1"/>
    <col min="2" max="2" width="7.54296875" bestFit="1" customWidth="1"/>
    <col min="4" max="4" width="17.7265625" bestFit="1" customWidth="1"/>
    <col min="5" max="5" width="15.1796875" bestFit="1" customWidth="1"/>
    <col min="6" max="6" width="11.453125" bestFit="1" customWidth="1"/>
    <col min="7" max="7" width="11.1796875" bestFit="1" customWidth="1"/>
    <col min="8" max="8" width="14.54296875" bestFit="1" customWidth="1"/>
    <col min="9" max="9" width="14.08984375" bestFit="1" customWidth="1"/>
    <col min="10" max="10" width="15.1796875" bestFit="1" customWidth="1"/>
    <col min="11" max="11" width="14.1796875" bestFit="1" customWidth="1"/>
    <col min="12" max="12" width="19.81640625" bestFit="1" customWidth="1"/>
    <col min="13" max="13" width="14.54296875" bestFit="1" customWidth="1"/>
  </cols>
  <sheetData>
    <row r="1" spans="1:13" x14ac:dyDescent="0.35">
      <c r="A1" t="s">
        <v>0</v>
      </c>
      <c r="B1" t="s">
        <v>1</v>
      </c>
      <c r="C1" t="s">
        <v>2</v>
      </c>
      <c r="D1" t="s">
        <v>3</v>
      </c>
      <c r="E1" t="s">
        <v>4</v>
      </c>
      <c r="F1" t="s">
        <v>5</v>
      </c>
      <c r="G1" t="s">
        <v>6</v>
      </c>
      <c r="H1" t="s">
        <v>7</v>
      </c>
      <c r="I1" t="s">
        <v>8</v>
      </c>
      <c r="J1" t="s">
        <v>9</v>
      </c>
      <c r="K1" t="s">
        <v>10</v>
      </c>
      <c r="L1" t="s">
        <v>62</v>
      </c>
      <c r="M1" t="s">
        <v>63</v>
      </c>
    </row>
    <row r="2" spans="1:13" x14ac:dyDescent="0.35">
      <c r="A2" s="1">
        <v>45292</v>
      </c>
      <c r="B2" t="s">
        <v>11</v>
      </c>
      <c r="C2" t="s">
        <v>12</v>
      </c>
      <c r="D2" t="s">
        <v>13</v>
      </c>
      <c r="E2" t="s">
        <v>14</v>
      </c>
      <c r="F2">
        <v>12</v>
      </c>
      <c r="G2">
        <v>450</v>
      </c>
      <c r="H2">
        <v>5400</v>
      </c>
      <c r="I2">
        <v>3780</v>
      </c>
      <c r="J2">
        <v>1620</v>
      </c>
      <c r="K2">
        <v>0.42857142857142855</v>
      </c>
      <c r="L2">
        <v>1</v>
      </c>
      <c r="M2" t="s">
        <v>64</v>
      </c>
    </row>
    <row r="3" spans="1:13" x14ac:dyDescent="0.35">
      <c r="A3" s="1">
        <v>45292</v>
      </c>
      <c r="B3" t="s">
        <v>15</v>
      </c>
      <c r="C3" t="s">
        <v>16</v>
      </c>
      <c r="D3" t="s">
        <v>17</v>
      </c>
      <c r="E3" t="s">
        <v>18</v>
      </c>
      <c r="F3">
        <v>30</v>
      </c>
      <c r="G3">
        <v>15</v>
      </c>
      <c r="H3">
        <v>450</v>
      </c>
      <c r="I3">
        <v>315</v>
      </c>
      <c r="J3">
        <v>135</v>
      </c>
      <c r="K3">
        <v>0.42857142857142855</v>
      </c>
      <c r="L3">
        <v>1</v>
      </c>
      <c r="M3" t="s">
        <v>64</v>
      </c>
    </row>
    <row r="4" spans="1:13" x14ac:dyDescent="0.35">
      <c r="A4" s="1">
        <v>45293</v>
      </c>
      <c r="B4" t="s">
        <v>19</v>
      </c>
      <c r="C4" t="s">
        <v>20</v>
      </c>
      <c r="D4" t="s">
        <v>21</v>
      </c>
      <c r="E4" t="s">
        <v>22</v>
      </c>
      <c r="F4">
        <v>6</v>
      </c>
      <c r="G4">
        <v>300</v>
      </c>
      <c r="H4">
        <v>1800</v>
      </c>
      <c r="I4">
        <v>1260</v>
      </c>
      <c r="J4">
        <v>540</v>
      </c>
      <c r="K4">
        <v>0.42857142857142855</v>
      </c>
      <c r="L4">
        <v>1</v>
      </c>
      <c r="M4" t="s">
        <v>64</v>
      </c>
    </row>
    <row r="5" spans="1:13" x14ac:dyDescent="0.35">
      <c r="A5" s="1">
        <v>45293</v>
      </c>
      <c r="B5" t="s">
        <v>23</v>
      </c>
      <c r="C5" t="s">
        <v>24</v>
      </c>
      <c r="D5" t="s">
        <v>25</v>
      </c>
      <c r="E5" t="s">
        <v>26</v>
      </c>
      <c r="F5">
        <v>20</v>
      </c>
      <c r="G5">
        <v>100</v>
      </c>
      <c r="H5">
        <v>2000</v>
      </c>
      <c r="I5">
        <v>1400</v>
      </c>
      <c r="J5">
        <v>600</v>
      </c>
      <c r="K5">
        <v>0.42857142857142855</v>
      </c>
      <c r="L5">
        <v>1</v>
      </c>
      <c r="M5" t="s">
        <v>64</v>
      </c>
    </row>
    <row r="6" spans="1:13" x14ac:dyDescent="0.35">
      <c r="A6" s="1">
        <v>45293</v>
      </c>
      <c r="B6" t="s">
        <v>27</v>
      </c>
      <c r="C6" t="s">
        <v>16</v>
      </c>
      <c r="D6" t="s">
        <v>17</v>
      </c>
      <c r="E6" t="s">
        <v>28</v>
      </c>
      <c r="F6">
        <v>40</v>
      </c>
      <c r="G6">
        <v>10</v>
      </c>
      <c r="H6">
        <v>400</v>
      </c>
      <c r="I6">
        <v>280</v>
      </c>
      <c r="J6">
        <v>120</v>
      </c>
      <c r="K6">
        <v>0.42857142857142855</v>
      </c>
      <c r="L6">
        <v>1</v>
      </c>
      <c r="M6" t="s">
        <v>64</v>
      </c>
    </row>
    <row r="7" spans="1:13" x14ac:dyDescent="0.35">
      <c r="A7" s="1">
        <v>45294</v>
      </c>
      <c r="B7" t="s">
        <v>29</v>
      </c>
      <c r="C7" t="s">
        <v>20</v>
      </c>
      <c r="D7" t="s">
        <v>21</v>
      </c>
      <c r="E7" t="s">
        <v>30</v>
      </c>
      <c r="F7">
        <v>12</v>
      </c>
      <c r="G7">
        <v>250</v>
      </c>
      <c r="H7">
        <v>3000</v>
      </c>
      <c r="I7">
        <v>2100</v>
      </c>
      <c r="J7">
        <v>900</v>
      </c>
      <c r="K7">
        <v>0.42857142857142855</v>
      </c>
      <c r="L7">
        <v>1</v>
      </c>
      <c r="M7" t="s">
        <v>64</v>
      </c>
    </row>
    <row r="8" spans="1:13" x14ac:dyDescent="0.35">
      <c r="A8" s="1">
        <v>45294</v>
      </c>
      <c r="B8" t="s">
        <v>31</v>
      </c>
      <c r="C8" t="s">
        <v>24</v>
      </c>
      <c r="D8" t="s">
        <v>25</v>
      </c>
      <c r="E8" t="s">
        <v>32</v>
      </c>
      <c r="F8">
        <v>18</v>
      </c>
      <c r="G8">
        <v>120</v>
      </c>
      <c r="H8">
        <v>2160</v>
      </c>
      <c r="I8">
        <v>1512</v>
      </c>
      <c r="J8">
        <v>648</v>
      </c>
      <c r="K8">
        <v>0.42857142857142855</v>
      </c>
      <c r="L8">
        <v>1</v>
      </c>
      <c r="M8" t="s">
        <v>64</v>
      </c>
    </row>
    <row r="9" spans="1:13" x14ac:dyDescent="0.35">
      <c r="A9" s="1">
        <v>45294</v>
      </c>
      <c r="B9" t="s">
        <v>15</v>
      </c>
      <c r="C9" t="s">
        <v>16</v>
      </c>
      <c r="D9" t="s">
        <v>17</v>
      </c>
      <c r="E9" t="s">
        <v>33</v>
      </c>
      <c r="F9">
        <v>50</v>
      </c>
      <c r="G9">
        <v>5</v>
      </c>
      <c r="H9">
        <v>250</v>
      </c>
      <c r="I9">
        <v>175</v>
      </c>
      <c r="J9">
        <v>75</v>
      </c>
      <c r="K9">
        <v>0.42857142857142855</v>
      </c>
      <c r="L9">
        <v>1</v>
      </c>
      <c r="M9" t="s">
        <v>64</v>
      </c>
    </row>
    <row r="10" spans="1:13" x14ac:dyDescent="0.35">
      <c r="A10" s="1">
        <v>45295</v>
      </c>
      <c r="B10" t="s">
        <v>34</v>
      </c>
      <c r="C10" t="s">
        <v>20</v>
      </c>
      <c r="D10" t="s">
        <v>21</v>
      </c>
      <c r="E10" t="s">
        <v>35</v>
      </c>
      <c r="F10">
        <v>10</v>
      </c>
      <c r="G10">
        <v>150</v>
      </c>
      <c r="H10">
        <v>1500</v>
      </c>
      <c r="I10">
        <v>1050</v>
      </c>
      <c r="J10">
        <v>450</v>
      </c>
      <c r="K10">
        <v>0.42857142857142855</v>
      </c>
      <c r="L10">
        <v>1</v>
      </c>
      <c r="M10" t="s">
        <v>64</v>
      </c>
    </row>
    <row r="11" spans="1:13" x14ac:dyDescent="0.35">
      <c r="A11" s="1">
        <v>45295</v>
      </c>
      <c r="B11" t="s">
        <v>23</v>
      </c>
      <c r="C11" t="s">
        <v>24</v>
      </c>
      <c r="D11" t="s">
        <v>25</v>
      </c>
      <c r="E11" t="s">
        <v>36</v>
      </c>
      <c r="F11">
        <v>22</v>
      </c>
      <c r="G11">
        <v>60</v>
      </c>
      <c r="H11">
        <v>1320</v>
      </c>
      <c r="I11">
        <v>924</v>
      </c>
      <c r="J11">
        <v>396</v>
      </c>
      <c r="K11">
        <v>0.42857142857142855</v>
      </c>
      <c r="L11">
        <v>1</v>
      </c>
      <c r="M11" t="s">
        <v>64</v>
      </c>
    </row>
    <row r="12" spans="1:13" x14ac:dyDescent="0.35">
      <c r="A12" s="1">
        <v>45295</v>
      </c>
      <c r="B12" t="s">
        <v>27</v>
      </c>
      <c r="C12" t="s">
        <v>16</v>
      </c>
      <c r="D12" t="s">
        <v>17</v>
      </c>
      <c r="E12" t="s">
        <v>37</v>
      </c>
      <c r="F12">
        <v>60</v>
      </c>
      <c r="G12">
        <v>8</v>
      </c>
      <c r="H12">
        <v>480</v>
      </c>
      <c r="I12">
        <v>336</v>
      </c>
      <c r="J12">
        <v>144</v>
      </c>
      <c r="K12">
        <v>0.42857142857142855</v>
      </c>
      <c r="L12">
        <v>1</v>
      </c>
      <c r="M12" t="s">
        <v>64</v>
      </c>
    </row>
    <row r="13" spans="1:13" x14ac:dyDescent="0.35">
      <c r="A13" s="1">
        <v>45296</v>
      </c>
      <c r="B13" t="s">
        <v>38</v>
      </c>
      <c r="C13" t="s">
        <v>12</v>
      </c>
      <c r="D13" t="s">
        <v>13</v>
      </c>
      <c r="E13" t="s">
        <v>14</v>
      </c>
      <c r="F13">
        <v>14</v>
      </c>
      <c r="G13">
        <v>460</v>
      </c>
      <c r="H13">
        <v>6440</v>
      </c>
      <c r="I13">
        <v>4508</v>
      </c>
      <c r="J13">
        <v>1932</v>
      </c>
      <c r="K13">
        <v>0.42857142857142855</v>
      </c>
      <c r="L13">
        <v>1</v>
      </c>
      <c r="M13" t="s">
        <v>64</v>
      </c>
    </row>
    <row r="14" spans="1:13" x14ac:dyDescent="0.35">
      <c r="A14" s="1">
        <v>45296</v>
      </c>
      <c r="B14" t="s">
        <v>19</v>
      </c>
      <c r="C14" t="s">
        <v>20</v>
      </c>
      <c r="D14" t="s">
        <v>21</v>
      </c>
      <c r="E14" t="s">
        <v>39</v>
      </c>
      <c r="F14">
        <v>7</v>
      </c>
      <c r="G14">
        <v>130</v>
      </c>
      <c r="H14">
        <v>910</v>
      </c>
      <c r="I14">
        <v>637</v>
      </c>
      <c r="J14">
        <v>273</v>
      </c>
      <c r="K14">
        <v>0.42857142857142855</v>
      </c>
      <c r="L14">
        <v>1</v>
      </c>
      <c r="M14" t="s">
        <v>64</v>
      </c>
    </row>
    <row r="15" spans="1:13" x14ac:dyDescent="0.35">
      <c r="A15" s="1">
        <v>45296</v>
      </c>
      <c r="B15" t="s">
        <v>31</v>
      </c>
      <c r="C15" t="s">
        <v>24</v>
      </c>
      <c r="D15" t="s">
        <v>25</v>
      </c>
      <c r="E15" t="s">
        <v>40</v>
      </c>
      <c r="F15">
        <v>12</v>
      </c>
      <c r="G15">
        <v>85</v>
      </c>
      <c r="H15">
        <v>1020</v>
      </c>
      <c r="I15">
        <v>714</v>
      </c>
      <c r="J15">
        <v>306</v>
      </c>
      <c r="K15">
        <v>0.42857142857142855</v>
      </c>
      <c r="L15">
        <v>1</v>
      </c>
      <c r="M15" t="s">
        <v>64</v>
      </c>
    </row>
    <row r="16" spans="1:13" x14ac:dyDescent="0.35">
      <c r="A16" s="1">
        <v>45296</v>
      </c>
      <c r="B16" t="s">
        <v>15</v>
      </c>
      <c r="C16" t="s">
        <v>16</v>
      </c>
      <c r="D16" t="s">
        <v>17</v>
      </c>
      <c r="E16" t="s">
        <v>18</v>
      </c>
      <c r="F16">
        <v>28</v>
      </c>
      <c r="G16">
        <v>15</v>
      </c>
      <c r="H16">
        <v>420</v>
      </c>
      <c r="I16">
        <v>294</v>
      </c>
      <c r="J16">
        <v>126</v>
      </c>
      <c r="K16">
        <v>0.42857142857142855</v>
      </c>
      <c r="L16">
        <v>1</v>
      </c>
      <c r="M16" t="s">
        <v>64</v>
      </c>
    </row>
    <row r="17" spans="1:13" x14ac:dyDescent="0.35">
      <c r="A17" s="1">
        <v>45297</v>
      </c>
      <c r="B17" t="s">
        <v>29</v>
      </c>
      <c r="C17" t="s">
        <v>20</v>
      </c>
      <c r="D17" t="s">
        <v>21</v>
      </c>
      <c r="E17" t="s">
        <v>22</v>
      </c>
      <c r="F17">
        <v>5</v>
      </c>
      <c r="G17">
        <v>310</v>
      </c>
      <c r="H17">
        <v>1550</v>
      </c>
      <c r="I17">
        <v>1085</v>
      </c>
      <c r="J17">
        <v>465</v>
      </c>
      <c r="K17">
        <v>0.42857142857142855</v>
      </c>
      <c r="L17">
        <v>1</v>
      </c>
      <c r="M17" t="s">
        <v>64</v>
      </c>
    </row>
    <row r="18" spans="1:13" x14ac:dyDescent="0.35">
      <c r="A18" s="1">
        <v>45297</v>
      </c>
      <c r="B18" t="s">
        <v>23</v>
      </c>
      <c r="C18" t="s">
        <v>24</v>
      </c>
      <c r="D18" t="s">
        <v>25</v>
      </c>
      <c r="E18" t="s">
        <v>26</v>
      </c>
      <c r="F18">
        <v>19</v>
      </c>
      <c r="G18">
        <v>105</v>
      </c>
      <c r="H18">
        <v>1995</v>
      </c>
      <c r="I18">
        <v>1396.5</v>
      </c>
      <c r="J18">
        <v>598.5</v>
      </c>
      <c r="K18">
        <v>0.42857142857142855</v>
      </c>
      <c r="L18">
        <v>1</v>
      </c>
      <c r="M18" t="s">
        <v>64</v>
      </c>
    </row>
    <row r="19" spans="1:13" x14ac:dyDescent="0.35">
      <c r="A19" s="1">
        <v>45297</v>
      </c>
      <c r="B19" t="s">
        <v>27</v>
      </c>
      <c r="C19" t="s">
        <v>16</v>
      </c>
      <c r="D19" t="s">
        <v>17</v>
      </c>
      <c r="E19" t="s">
        <v>28</v>
      </c>
      <c r="F19">
        <v>35</v>
      </c>
      <c r="G19">
        <v>12</v>
      </c>
      <c r="H19">
        <v>420</v>
      </c>
      <c r="I19">
        <v>294</v>
      </c>
      <c r="J19">
        <v>126</v>
      </c>
      <c r="K19">
        <v>0.42857142857142855</v>
      </c>
      <c r="L19">
        <v>1</v>
      </c>
      <c r="M19" t="s">
        <v>64</v>
      </c>
    </row>
    <row r="20" spans="1:13" x14ac:dyDescent="0.35">
      <c r="A20" s="1">
        <v>45298</v>
      </c>
      <c r="B20" t="s">
        <v>34</v>
      </c>
      <c r="C20" t="s">
        <v>20</v>
      </c>
      <c r="D20" t="s">
        <v>21</v>
      </c>
      <c r="E20" t="s">
        <v>30</v>
      </c>
      <c r="F20">
        <v>13</v>
      </c>
      <c r="G20">
        <v>260</v>
      </c>
      <c r="H20">
        <v>3380</v>
      </c>
      <c r="I20">
        <v>2366</v>
      </c>
      <c r="J20">
        <v>1014</v>
      </c>
      <c r="K20">
        <v>0.42857142857142855</v>
      </c>
      <c r="L20">
        <v>1</v>
      </c>
      <c r="M20" t="s">
        <v>64</v>
      </c>
    </row>
    <row r="21" spans="1:13" x14ac:dyDescent="0.35">
      <c r="A21" s="1">
        <v>45298</v>
      </c>
      <c r="B21" t="s">
        <v>31</v>
      </c>
      <c r="C21" t="s">
        <v>24</v>
      </c>
      <c r="D21" t="s">
        <v>25</v>
      </c>
      <c r="E21" t="s">
        <v>32</v>
      </c>
      <c r="F21">
        <v>17</v>
      </c>
      <c r="G21">
        <v>125</v>
      </c>
      <c r="H21">
        <v>2125</v>
      </c>
      <c r="I21">
        <v>1487.5</v>
      </c>
      <c r="J21">
        <v>637.5</v>
      </c>
      <c r="K21">
        <v>0.42857142857142855</v>
      </c>
      <c r="L21">
        <v>1</v>
      </c>
      <c r="M21" t="s">
        <v>64</v>
      </c>
    </row>
    <row r="22" spans="1:13" x14ac:dyDescent="0.35">
      <c r="A22" s="1">
        <v>45298</v>
      </c>
      <c r="B22" t="s">
        <v>15</v>
      </c>
      <c r="C22" t="s">
        <v>16</v>
      </c>
      <c r="D22" t="s">
        <v>17</v>
      </c>
      <c r="E22" t="s">
        <v>33</v>
      </c>
      <c r="F22">
        <v>55</v>
      </c>
      <c r="G22">
        <v>6</v>
      </c>
      <c r="H22">
        <v>330</v>
      </c>
      <c r="I22">
        <v>231</v>
      </c>
      <c r="J22">
        <v>99</v>
      </c>
      <c r="K22">
        <v>0.42857142857142855</v>
      </c>
      <c r="L22">
        <v>1</v>
      </c>
      <c r="M22" t="s">
        <v>64</v>
      </c>
    </row>
    <row r="23" spans="1:13" x14ac:dyDescent="0.35">
      <c r="A23" s="1">
        <v>45299</v>
      </c>
      <c r="B23" t="s">
        <v>38</v>
      </c>
      <c r="C23" t="s">
        <v>12</v>
      </c>
      <c r="D23" t="s">
        <v>13</v>
      </c>
      <c r="E23" t="s">
        <v>41</v>
      </c>
      <c r="F23">
        <v>14</v>
      </c>
      <c r="G23">
        <v>355</v>
      </c>
      <c r="H23">
        <v>4970</v>
      </c>
      <c r="I23">
        <v>3479</v>
      </c>
      <c r="J23">
        <v>1491</v>
      </c>
      <c r="K23">
        <v>0.42857142857142855</v>
      </c>
      <c r="L23">
        <v>1</v>
      </c>
      <c r="M23" t="s">
        <v>64</v>
      </c>
    </row>
    <row r="24" spans="1:13" x14ac:dyDescent="0.35">
      <c r="A24" s="1">
        <v>45299</v>
      </c>
      <c r="B24" t="s">
        <v>19</v>
      </c>
      <c r="C24" t="s">
        <v>20</v>
      </c>
      <c r="D24" t="s">
        <v>21</v>
      </c>
      <c r="E24" t="s">
        <v>35</v>
      </c>
      <c r="F24">
        <v>11</v>
      </c>
      <c r="G24">
        <v>160</v>
      </c>
      <c r="H24">
        <v>1760</v>
      </c>
      <c r="I24">
        <v>1232</v>
      </c>
      <c r="J24">
        <v>528</v>
      </c>
      <c r="K24">
        <v>0.42857142857142855</v>
      </c>
      <c r="L24">
        <v>1</v>
      </c>
      <c r="M24" t="s">
        <v>64</v>
      </c>
    </row>
    <row r="25" spans="1:13" x14ac:dyDescent="0.35">
      <c r="A25" s="1">
        <v>45299</v>
      </c>
      <c r="B25" t="s">
        <v>23</v>
      </c>
      <c r="C25" t="s">
        <v>24</v>
      </c>
      <c r="D25" t="s">
        <v>25</v>
      </c>
      <c r="E25" t="s">
        <v>36</v>
      </c>
      <c r="F25">
        <v>21</v>
      </c>
      <c r="G25">
        <v>65</v>
      </c>
      <c r="H25">
        <v>1365</v>
      </c>
      <c r="I25">
        <v>955.5</v>
      </c>
      <c r="J25">
        <v>409.5</v>
      </c>
      <c r="K25">
        <v>0.42857142857142855</v>
      </c>
      <c r="L25">
        <v>1</v>
      </c>
      <c r="M25" t="s">
        <v>64</v>
      </c>
    </row>
    <row r="26" spans="1:13" x14ac:dyDescent="0.35">
      <c r="A26" s="1">
        <v>45300</v>
      </c>
      <c r="B26" t="s">
        <v>42</v>
      </c>
      <c r="C26" t="s">
        <v>12</v>
      </c>
      <c r="D26" t="s">
        <v>13</v>
      </c>
      <c r="E26" t="s">
        <v>14</v>
      </c>
      <c r="F26">
        <v>15</v>
      </c>
      <c r="G26">
        <v>470</v>
      </c>
      <c r="H26">
        <v>7050</v>
      </c>
      <c r="I26">
        <v>4935</v>
      </c>
      <c r="J26">
        <v>2115</v>
      </c>
      <c r="K26">
        <v>0.42857142857142855</v>
      </c>
      <c r="L26">
        <v>1</v>
      </c>
      <c r="M26" t="s">
        <v>64</v>
      </c>
    </row>
    <row r="27" spans="1:13" x14ac:dyDescent="0.35">
      <c r="A27" s="1">
        <v>45300</v>
      </c>
      <c r="B27" t="s">
        <v>29</v>
      </c>
      <c r="C27" t="s">
        <v>20</v>
      </c>
      <c r="D27" t="s">
        <v>21</v>
      </c>
      <c r="E27" t="s">
        <v>39</v>
      </c>
      <c r="F27">
        <v>9</v>
      </c>
      <c r="G27">
        <v>125</v>
      </c>
      <c r="H27">
        <v>1125</v>
      </c>
      <c r="I27">
        <v>787.5</v>
      </c>
      <c r="J27">
        <v>337.5</v>
      </c>
      <c r="K27">
        <v>0.42857142857142855</v>
      </c>
      <c r="L27">
        <v>1</v>
      </c>
      <c r="M27" t="s">
        <v>64</v>
      </c>
    </row>
    <row r="28" spans="1:13" x14ac:dyDescent="0.35">
      <c r="A28" s="1">
        <v>45300</v>
      </c>
      <c r="B28" t="s">
        <v>31</v>
      </c>
      <c r="C28" t="s">
        <v>24</v>
      </c>
      <c r="D28" t="s">
        <v>25</v>
      </c>
      <c r="E28" t="s">
        <v>40</v>
      </c>
      <c r="F28">
        <v>16</v>
      </c>
      <c r="G28">
        <v>90</v>
      </c>
      <c r="H28">
        <v>1440</v>
      </c>
      <c r="I28">
        <v>1008</v>
      </c>
      <c r="J28">
        <v>432</v>
      </c>
      <c r="K28">
        <v>0.42857142857142855</v>
      </c>
      <c r="L28">
        <v>1</v>
      </c>
      <c r="M28" t="s">
        <v>64</v>
      </c>
    </row>
    <row r="29" spans="1:13" x14ac:dyDescent="0.35">
      <c r="A29" s="1">
        <v>45300</v>
      </c>
      <c r="B29" t="s">
        <v>15</v>
      </c>
      <c r="C29" t="s">
        <v>16</v>
      </c>
      <c r="D29" t="s">
        <v>17</v>
      </c>
      <c r="E29" t="s">
        <v>18</v>
      </c>
      <c r="F29">
        <v>33</v>
      </c>
      <c r="G29">
        <v>16</v>
      </c>
      <c r="H29">
        <v>528</v>
      </c>
      <c r="I29">
        <v>369.6</v>
      </c>
      <c r="J29">
        <v>158.4</v>
      </c>
      <c r="K29">
        <v>0.42857142857142855</v>
      </c>
      <c r="L29">
        <v>1</v>
      </c>
      <c r="M29" t="s">
        <v>64</v>
      </c>
    </row>
    <row r="30" spans="1:13" x14ac:dyDescent="0.35">
      <c r="A30" s="1">
        <v>45301</v>
      </c>
      <c r="B30" t="s">
        <v>11</v>
      </c>
      <c r="C30" t="s">
        <v>12</v>
      </c>
      <c r="D30" t="s">
        <v>13</v>
      </c>
      <c r="E30" t="s">
        <v>43</v>
      </c>
      <c r="F30">
        <v>11</v>
      </c>
      <c r="G30">
        <v>950</v>
      </c>
      <c r="H30">
        <v>10450</v>
      </c>
      <c r="I30">
        <v>7315</v>
      </c>
      <c r="J30">
        <v>3135</v>
      </c>
      <c r="K30">
        <v>0.42857142857142855</v>
      </c>
      <c r="L30">
        <v>1</v>
      </c>
      <c r="M30" t="s">
        <v>64</v>
      </c>
    </row>
    <row r="31" spans="1:13" x14ac:dyDescent="0.35">
      <c r="A31" s="1">
        <v>45301</v>
      </c>
      <c r="B31" t="s">
        <v>34</v>
      </c>
      <c r="C31" t="s">
        <v>20</v>
      </c>
      <c r="D31" t="s">
        <v>21</v>
      </c>
      <c r="E31" t="s">
        <v>22</v>
      </c>
      <c r="F31">
        <v>7</v>
      </c>
      <c r="G31">
        <v>320</v>
      </c>
      <c r="H31">
        <v>2240</v>
      </c>
      <c r="I31">
        <v>1568</v>
      </c>
      <c r="J31">
        <v>672</v>
      </c>
      <c r="K31">
        <v>0.42857142857142855</v>
      </c>
      <c r="L31">
        <v>1</v>
      </c>
      <c r="M31" t="s">
        <v>64</v>
      </c>
    </row>
    <row r="32" spans="1:13" x14ac:dyDescent="0.35">
      <c r="A32" s="1">
        <v>45301</v>
      </c>
      <c r="B32" t="s">
        <v>23</v>
      </c>
      <c r="C32" t="s">
        <v>24</v>
      </c>
      <c r="D32" t="s">
        <v>25</v>
      </c>
      <c r="E32" t="s">
        <v>26</v>
      </c>
      <c r="F32">
        <v>18</v>
      </c>
      <c r="G32">
        <v>110</v>
      </c>
      <c r="H32">
        <v>1980</v>
      </c>
      <c r="I32">
        <v>1386</v>
      </c>
      <c r="J32">
        <v>594</v>
      </c>
      <c r="K32">
        <v>0.42857142857142855</v>
      </c>
      <c r="L32">
        <v>1</v>
      </c>
      <c r="M32" t="s">
        <v>64</v>
      </c>
    </row>
    <row r="33" spans="1:13" x14ac:dyDescent="0.35">
      <c r="A33" s="1">
        <v>45301</v>
      </c>
      <c r="B33" t="s">
        <v>27</v>
      </c>
      <c r="C33" t="s">
        <v>16</v>
      </c>
      <c r="D33" t="s">
        <v>17</v>
      </c>
      <c r="E33" t="s">
        <v>28</v>
      </c>
      <c r="F33">
        <v>38</v>
      </c>
      <c r="G33">
        <v>11</v>
      </c>
      <c r="H33">
        <v>418</v>
      </c>
      <c r="I33">
        <v>292.60000000000002</v>
      </c>
      <c r="J33">
        <v>125.4</v>
      </c>
      <c r="K33">
        <v>0.42857142857142855</v>
      </c>
      <c r="L33">
        <v>1</v>
      </c>
      <c r="M33" t="s">
        <v>64</v>
      </c>
    </row>
    <row r="34" spans="1:13" x14ac:dyDescent="0.35">
      <c r="A34" s="1">
        <v>45302</v>
      </c>
      <c r="B34" t="s">
        <v>38</v>
      </c>
      <c r="C34" t="s">
        <v>12</v>
      </c>
      <c r="D34" t="s">
        <v>13</v>
      </c>
      <c r="E34" t="s">
        <v>44</v>
      </c>
      <c r="F34">
        <v>23</v>
      </c>
      <c r="G34">
        <v>215</v>
      </c>
      <c r="H34">
        <v>4945</v>
      </c>
      <c r="I34">
        <v>3461.5</v>
      </c>
      <c r="J34">
        <v>1483.5</v>
      </c>
      <c r="K34">
        <v>0.42857142857142855</v>
      </c>
      <c r="L34">
        <v>1</v>
      </c>
      <c r="M34" t="s">
        <v>64</v>
      </c>
    </row>
    <row r="35" spans="1:13" x14ac:dyDescent="0.35">
      <c r="A35" s="1">
        <v>45302</v>
      </c>
      <c r="B35" t="s">
        <v>19</v>
      </c>
      <c r="C35" t="s">
        <v>20</v>
      </c>
      <c r="D35" t="s">
        <v>21</v>
      </c>
      <c r="E35" t="s">
        <v>30</v>
      </c>
      <c r="F35">
        <v>14</v>
      </c>
      <c r="G35">
        <v>270</v>
      </c>
      <c r="H35">
        <v>3780</v>
      </c>
      <c r="I35">
        <v>2646</v>
      </c>
      <c r="J35">
        <v>1134</v>
      </c>
      <c r="K35">
        <v>0.42857142857142855</v>
      </c>
      <c r="L35">
        <v>1</v>
      </c>
      <c r="M35" t="s">
        <v>64</v>
      </c>
    </row>
    <row r="36" spans="1:13" x14ac:dyDescent="0.35">
      <c r="A36" s="1">
        <v>45302</v>
      </c>
      <c r="B36" t="s">
        <v>31</v>
      </c>
      <c r="C36" t="s">
        <v>24</v>
      </c>
      <c r="D36" t="s">
        <v>25</v>
      </c>
      <c r="E36" t="s">
        <v>32</v>
      </c>
      <c r="F36">
        <v>19</v>
      </c>
      <c r="G36">
        <v>130</v>
      </c>
      <c r="H36">
        <v>2470</v>
      </c>
      <c r="I36">
        <v>1729</v>
      </c>
      <c r="J36">
        <v>741</v>
      </c>
      <c r="K36">
        <v>0.42857142857142855</v>
      </c>
      <c r="L36">
        <v>1</v>
      </c>
      <c r="M36" t="s">
        <v>64</v>
      </c>
    </row>
    <row r="37" spans="1:13" x14ac:dyDescent="0.35">
      <c r="A37" s="1">
        <v>45302</v>
      </c>
      <c r="B37" t="s">
        <v>15</v>
      </c>
      <c r="C37" t="s">
        <v>16</v>
      </c>
      <c r="D37" t="s">
        <v>17</v>
      </c>
      <c r="E37" t="s">
        <v>33</v>
      </c>
      <c r="F37">
        <v>52</v>
      </c>
      <c r="G37">
        <v>5</v>
      </c>
      <c r="H37">
        <v>260</v>
      </c>
      <c r="I37">
        <v>182</v>
      </c>
      <c r="J37">
        <v>78</v>
      </c>
      <c r="K37">
        <v>0.42857142857142855</v>
      </c>
      <c r="L37">
        <v>1</v>
      </c>
      <c r="M37" t="s">
        <v>64</v>
      </c>
    </row>
    <row r="38" spans="1:13" x14ac:dyDescent="0.35">
      <c r="A38" s="1">
        <v>45303</v>
      </c>
      <c r="B38" t="s">
        <v>42</v>
      </c>
      <c r="C38" t="s">
        <v>12</v>
      </c>
      <c r="D38" t="s">
        <v>13</v>
      </c>
      <c r="E38" t="s">
        <v>41</v>
      </c>
      <c r="F38">
        <v>13</v>
      </c>
      <c r="G38">
        <v>360</v>
      </c>
      <c r="H38">
        <v>4680</v>
      </c>
      <c r="I38">
        <v>3276</v>
      </c>
      <c r="J38">
        <v>1404</v>
      </c>
      <c r="K38">
        <v>0.42857142857142855</v>
      </c>
      <c r="L38">
        <v>1</v>
      </c>
      <c r="M38" t="s">
        <v>64</v>
      </c>
    </row>
    <row r="39" spans="1:13" x14ac:dyDescent="0.35">
      <c r="A39" s="1">
        <v>45303</v>
      </c>
      <c r="B39" t="s">
        <v>29</v>
      </c>
      <c r="C39" t="s">
        <v>20</v>
      </c>
      <c r="D39" t="s">
        <v>21</v>
      </c>
      <c r="E39" t="s">
        <v>35</v>
      </c>
      <c r="F39">
        <v>9</v>
      </c>
      <c r="G39">
        <v>155</v>
      </c>
      <c r="H39">
        <v>1395</v>
      </c>
      <c r="I39">
        <v>976.5</v>
      </c>
      <c r="J39">
        <v>418.5</v>
      </c>
      <c r="K39">
        <v>0.42857142857142855</v>
      </c>
      <c r="L39">
        <v>1</v>
      </c>
      <c r="M39" t="s">
        <v>64</v>
      </c>
    </row>
    <row r="40" spans="1:13" x14ac:dyDescent="0.35">
      <c r="A40" s="1">
        <v>45303</v>
      </c>
      <c r="B40" t="s">
        <v>23</v>
      </c>
      <c r="C40" t="s">
        <v>24</v>
      </c>
      <c r="D40" t="s">
        <v>25</v>
      </c>
      <c r="E40" t="s">
        <v>36</v>
      </c>
      <c r="F40">
        <v>20</v>
      </c>
      <c r="G40">
        <v>70</v>
      </c>
      <c r="H40">
        <v>1400</v>
      </c>
      <c r="I40">
        <v>980</v>
      </c>
      <c r="J40">
        <v>420</v>
      </c>
      <c r="K40">
        <v>0.42857142857142855</v>
      </c>
      <c r="L40">
        <v>1</v>
      </c>
      <c r="M40" t="s">
        <v>64</v>
      </c>
    </row>
    <row r="41" spans="1:13" x14ac:dyDescent="0.35">
      <c r="A41" s="1">
        <v>45304</v>
      </c>
      <c r="B41" t="s">
        <v>11</v>
      </c>
      <c r="C41" t="s">
        <v>12</v>
      </c>
      <c r="D41" t="s">
        <v>13</v>
      </c>
      <c r="E41" t="s">
        <v>14</v>
      </c>
      <c r="F41">
        <v>16</v>
      </c>
      <c r="G41">
        <v>480</v>
      </c>
      <c r="H41">
        <v>7680</v>
      </c>
      <c r="I41">
        <v>5376</v>
      </c>
      <c r="J41">
        <v>2304</v>
      </c>
      <c r="K41">
        <v>0.42857142857142855</v>
      </c>
      <c r="L41">
        <v>1</v>
      </c>
      <c r="M41" t="s">
        <v>64</v>
      </c>
    </row>
    <row r="42" spans="1:13" x14ac:dyDescent="0.35">
      <c r="A42" s="1">
        <v>45304</v>
      </c>
      <c r="B42" t="s">
        <v>34</v>
      </c>
      <c r="C42" t="s">
        <v>20</v>
      </c>
      <c r="D42" t="s">
        <v>21</v>
      </c>
      <c r="E42" t="s">
        <v>39</v>
      </c>
      <c r="F42">
        <v>10</v>
      </c>
      <c r="G42">
        <v>135</v>
      </c>
      <c r="H42">
        <v>1350</v>
      </c>
      <c r="I42">
        <v>945</v>
      </c>
      <c r="J42">
        <v>405</v>
      </c>
      <c r="K42">
        <v>0.42857142857142855</v>
      </c>
      <c r="L42">
        <v>1</v>
      </c>
      <c r="M42" t="s">
        <v>64</v>
      </c>
    </row>
    <row r="43" spans="1:13" x14ac:dyDescent="0.35">
      <c r="A43" s="1">
        <v>45304</v>
      </c>
      <c r="B43" t="s">
        <v>31</v>
      </c>
      <c r="C43" t="s">
        <v>24</v>
      </c>
      <c r="D43" t="s">
        <v>25</v>
      </c>
      <c r="E43" t="s">
        <v>40</v>
      </c>
      <c r="F43">
        <v>14</v>
      </c>
      <c r="G43">
        <v>95</v>
      </c>
      <c r="H43">
        <v>1330</v>
      </c>
      <c r="I43">
        <v>931</v>
      </c>
      <c r="J43">
        <v>399</v>
      </c>
      <c r="K43">
        <v>0.42857142857142855</v>
      </c>
      <c r="L43">
        <v>1</v>
      </c>
      <c r="M43" t="s">
        <v>64</v>
      </c>
    </row>
    <row r="44" spans="1:13" x14ac:dyDescent="0.35">
      <c r="A44" s="1">
        <v>45305</v>
      </c>
      <c r="B44" t="s">
        <v>38</v>
      </c>
      <c r="C44" t="s">
        <v>12</v>
      </c>
      <c r="D44" t="s">
        <v>13</v>
      </c>
      <c r="E44" t="s">
        <v>43</v>
      </c>
      <c r="F44">
        <v>12</v>
      </c>
      <c r="G44">
        <v>970</v>
      </c>
      <c r="H44">
        <v>11640</v>
      </c>
      <c r="I44">
        <v>8148</v>
      </c>
      <c r="J44">
        <v>3492</v>
      </c>
      <c r="K44">
        <v>0.42857142857142855</v>
      </c>
      <c r="L44">
        <v>1</v>
      </c>
      <c r="M44" t="s">
        <v>64</v>
      </c>
    </row>
    <row r="45" spans="1:13" x14ac:dyDescent="0.35">
      <c r="A45" s="1">
        <v>45305</v>
      </c>
      <c r="B45" t="s">
        <v>19</v>
      </c>
      <c r="C45" t="s">
        <v>20</v>
      </c>
      <c r="D45" t="s">
        <v>21</v>
      </c>
      <c r="E45" t="s">
        <v>22</v>
      </c>
      <c r="F45">
        <v>8</v>
      </c>
      <c r="G45">
        <v>330</v>
      </c>
      <c r="H45">
        <v>2640</v>
      </c>
      <c r="I45">
        <v>1848</v>
      </c>
      <c r="J45">
        <v>792</v>
      </c>
      <c r="K45">
        <v>0.42857142857142855</v>
      </c>
      <c r="L45">
        <v>1</v>
      </c>
      <c r="M45" t="s">
        <v>64</v>
      </c>
    </row>
    <row r="46" spans="1:13" x14ac:dyDescent="0.35">
      <c r="A46" s="1">
        <v>45305</v>
      </c>
      <c r="B46" t="s">
        <v>23</v>
      </c>
      <c r="C46" t="s">
        <v>24</v>
      </c>
      <c r="D46" t="s">
        <v>25</v>
      </c>
      <c r="E46" t="s">
        <v>26</v>
      </c>
      <c r="F46">
        <v>21</v>
      </c>
      <c r="G46">
        <v>115</v>
      </c>
      <c r="H46">
        <v>2415</v>
      </c>
      <c r="I46">
        <v>1690.5</v>
      </c>
      <c r="J46">
        <v>724.5</v>
      </c>
      <c r="K46">
        <v>0.42857142857142855</v>
      </c>
      <c r="L46">
        <v>1</v>
      </c>
      <c r="M46" t="s">
        <v>64</v>
      </c>
    </row>
    <row r="47" spans="1:13" x14ac:dyDescent="0.35">
      <c r="A47" s="1">
        <v>45306</v>
      </c>
      <c r="B47" t="s">
        <v>42</v>
      </c>
      <c r="C47" t="s">
        <v>12</v>
      </c>
      <c r="D47" t="s">
        <v>13</v>
      </c>
      <c r="E47" t="s">
        <v>44</v>
      </c>
      <c r="F47">
        <v>24</v>
      </c>
      <c r="G47">
        <v>220</v>
      </c>
      <c r="H47">
        <v>5280</v>
      </c>
      <c r="I47">
        <v>3696</v>
      </c>
      <c r="J47">
        <v>1584</v>
      </c>
      <c r="K47">
        <v>0.42857142857142855</v>
      </c>
      <c r="L47">
        <v>1</v>
      </c>
      <c r="M47" t="s">
        <v>64</v>
      </c>
    </row>
    <row r="48" spans="1:13" x14ac:dyDescent="0.35">
      <c r="A48" s="1">
        <v>45306</v>
      </c>
      <c r="B48" t="s">
        <v>29</v>
      </c>
      <c r="C48" t="s">
        <v>20</v>
      </c>
      <c r="D48" t="s">
        <v>21</v>
      </c>
      <c r="E48" t="s">
        <v>30</v>
      </c>
      <c r="F48">
        <v>15</v>
      </c>
      <c r="G48">
        <v>280</v>
      </c>
      <c r="H48">
        <v>4200</v>
      </c>
      <c r="I48">
        <v>2940</v>
      </c>
      <c r="J48">
        <v>1260</v>
      </c>
      <c r="K48">
        <v>0.42857142857142855</v>
      </c>
      <c r="L48">
        <v>1</v>
      </c>
      <c r="M48" t="s">
        <v>64</v>
      </c>
    </row>
    <row r="49" spans="1:13" x14ac:dyDescent="0.35">
      <c r="A49" s="1">
        <v>45306</v>
      </c>
      <c r="B49" t="s">
        <v>31</v>
      </c>
      <c r="C49" t="s">
        <v>24</v>
      </c>
      <c r="D49" t="s">
        <v>25</v>
      </c>
      <c r="E49" t="s">
        <v>32</v>
      </c>
      <c r="F49">
        <v>20</v>
      </c>
      <c r="G49">
        <v>135</v>
      </c>
      <c r="H49">
        <v>2700</v>
      </c>
      <c r="I49">
        <v>1890</v>
      </c>
      <c r="J49">
        <v>810</v>
      </c>
      <c r="K49">
        <v>0.42857142857142855</v>
      </c>
      <c r="L49">
        <v>1</v>
      </c>
      <c r="M49" t="s">
        <v>64</v>
      </c>
    </row>
    <row r="50" spans="1:13" x14ac:dyDescent="0.35">
      <c r="A50" s="1">
        <v>45306</v>
      </c>
      <c r="B50" t="s">
        <v>15</v>
      </c>
      <c r="C50" t="s">
        <v>16</v>
      </c>
      <c r="D50" t="s">
        <v>17</v>
      </c>
      <c r="E50" t="s">
        <v>33</v>
      </c>
      <c r="F50">
        <v>57</v>
      </c>
      <c r="G50">
        <v>6</v>
      </c>
      <c r="H50">
        <v>342</v>
      </c>
      <c r="I50">
        <v>239.4</v>
      </c>
      <c r="J50">
        <v>102.6</v>
      </c>
      <c r="K50">
        <v>0.42857142857142855</v>
      </c>
      <c r="L50">
        <v>1</v>
      </c>
      <c r="M50" t="s">
        <v>64</v>
      </c>
    </row>
    <row r="51" spans="1:13" x14ac:dyDescent="0.35">
      <c r="A51" s="1">
        <v>45307</v>
      </c>
      <c r="B51" t="s">
        <v>11</v>
      </c>
      <c r="C51" t="s">
        <v>12</v>
      </c>
      <c r="D51" t="s">
        <v>13</v>
      </c>
      <c r="E51" t="s">
        <v>41</v>
      </c>
      <c r="F51">
        <v>14</v>
      </c>
      <c r="G51">
        <v>370</v>
      </c>
      <c r="H51">
        <v>5180</v>
      </c>
      <c r="I51">
        <v>3626</v>
      </c>
      <c r="J51">
        <v>1554</v>
      </c>
      <c r="K51">
        <v>0.42857142857142855</v>
      </c>
      <c r="L51">
        <v>1</v>
      </c>
      <c r="M51" t="s">
        <v>64</v>
      </c>
    </row>
    <row r="52" spans="1:13" x14ac:dyDescent="0.35">
      <c r="A52" s="1">
        <v>45307</v>
      </c>
      <c r="B52" t="s">
        <v>34</v>
      </c>
      <c r="C52" t="s">
        <v>20</v>
      </c>
      <c r="D52" t="s">
        <v>21</v>
      </c>
      <c r="E52" t="s">
        <v>35</v>
      </c>
      <c r="F52">
        <v>12</v>
      </c>
      <c r="G52">
        <v>165</v>
      </c>
      <c r="H52">
        <v>1980</v>
      </c>
      <c r="I52">
        <v>1386</v>
      </c>
      <c r="J52">
        <v>594</v>
      </c>
      <c r="K52">
        <v>0.42857142857142855</v>
      </c>
      <c r="L52">
        <v>1</v>
      </c>
      <c r="M52" t="s">
        <v>64</v>
      </c>
    </row>
    <row r="53" spans="1:13" x14ac:dyDescent="0.35">
      <c r="A53" s="1">
        <v>45307</v>
      </c>
      <c r="B53" t="s">
        <v>23</v>
      </c>
      <c r="C53" t="s">
        <v>24</v>
      </c>
      <c r="D53" t="s">
        <v>25</v>
      </c>
      <c r="E53" t="s">
        <v>36</v>
      </c>
      <c r="F53">
        <v>23</v>
      </c>
      <c r="G53">
        <v>75</v>
      </c>
      <c r="H53">
        <v>1725</v>
      </c>
      <c r="I53">
        <v>1207.5</v>
      </c>
      <c r="J53">
        <v>517.5</v>
      </c>
      <c r="K53">
        <v>0.42857142857142855</v>
      </c>
      <c r="L53">
        <v>1</v>
      </c>
      <c r="M53" t="s">
        <v>64</v>
      </c>
    </row>
    <row r="54" spans="1:13" x14ac:dyDescent="0.35">
      <c r="A54" s="1">
        <v>45308</v>
      </c>
      <c r="B54" t="s">
        <v>38</v>
      </c>
      <c r="C54" t="s">
        <v>12</v>
      </c>
      <c r="D54" t="s">
        <v>13</v>
      </c>
      <c r="E54" t="s">
        <v>14</v>
      </c>
      <c r="F54">
        <v>13</v>
      </c>
      <c r="G54">
        <v>490</v>
      </c>
      <c r="H54">
        <v>6370</v>
      </c>
      <c r="I54">
        <v>4459</v>
      </c>
      <c r="J54">
        <v>1911</v>
      </c>
      <c r="K54">
        <v>0.42857142857142855</v>
      </c>
      <c r="L54">
        <v>1</v>
      </c>
      <c r="M54" t="s">
        <v>64</v>
      </c>
    </row>
    <row r="55" spans="1:13" x14ac:dyDescent="0.35">
      <c r="A55" s="1">
        <v>45308</v>
      </c>
      <c r="B55" t="s">
        <v>19</v>
      </c>
      <c r="C55" t="s">
        <v>20</v>
      </c>
      <c r="D55" t="s">
        <v>21</v>
      </c>
      <c r="E55" t="s">
        <v>39</v>
      </c>
      <c r="F55">
        <v>8</v>
      </c>
      <c r="G55">
        <v>140</v>
      </c>
      <c r="H55">
        <v>1120</v>
      </c>
      <c r="I55">
        <v>784</v>
      </c>
      <c r="J55">
        <v>336</v>
      </c>
      <c r="K55">
        <v>0.42857142857142855</v>
      </c>
      <c r="L55">
        <v>1</v>
      </c>
      <c r="M55" t="s">
        <v>64</v>
      </c>
    </row>
    <row r="56" spans="1:13" x14ac:dyDescent="0.35">
      <c r="A56" s="1">
        <v>45308</v>
      </c>
      <c r="B56" t="s">
        <v>31</v>
      </c>
      <c r="C56" t="s">
        <v>24</v>
      </c>
      <c r="D56" t="s">
        <v>25</v>
      </c>
      <c r="E56" t="s">
        <v>40</v>
      </c>
      <c r="F56">
        <v>15</v>
      </c>
      <c r="G56">
        <v>100</v>
      </c>
      <c r="H56">
        <v>1500</v>
      </c>
      <c r="I56">
        <v>1050</v>
      </c>
      <c r="J56">
        <v>450</v>
      </c>
      <c r="K56">
        <v>0.42857142857142855</v>
      </c>
      <c r="L56">
        <v>1</v>
      </c>
      <c r="M56" t="s">
        <v>64</v>
      </c>
    </row>
    <row r="57" spans="1:13" x14ac:dyDescent="0.35">
      <c r="A57" s="1">
        <v>45308</v>
      </c>
      <c r="B57" t="s">
        <v>15</v>
      </c>
      <c r="C57" t="s">
        <v>16</v>
      </c>
      <c r="D57" t="s">
        <v>17</v>
      </c>
      <c r="E57" t="s">
        <v>18</v>
      </c>
      <c r="F57">
        <v>35</v>
      </c>
      <c r="G57">
        <v>17</v>
      </c>
      <c r="H57">
        <v>595</v>
      </c>
      <c r="I57">
        <v>416.5</v>
      </c>
      <c r="J57">
        <v>178.5</v>
      </c>
      <c r="K57">
        <v>0.42857142857142855</v>
      </c>
      <c r="L57">
        <v>1</v>
      </c>
      <c r="M57" t="s">
        <v>64</v>
      </c>
    </row>
    <row r="58" spans="1:13" x14ac:dyDescent="0.35">
      <c r="A58" s="1">
        <v>45309</v>
      </c>
      <c r="B58" t="s">
        <v>42</v>
      </c>
      <c r="C58" t="s">
        <v>12</v>
      </c>
      <c r="D58" t="s">
        <v>13</v>
      </c>
      <c r="E58" t="s">
        <v>43</v>
      </c>
      <c r="F58">
        <v>10</v>
      </c>
      <c r="G58">
        <v>990</v>
      </c>
      <c r="H58">
        <v>9900</v>
      </c>
      <c r="I58">
        <v>6930</v>
      </c>
      <c r="J58">
        <v>2970</v>
      </c>
      <c r="K58">
        <v>0.42857142857142855</v>
      </c>
      <c r="L58">
        <v>1</v>
      </c>
      <c r="M58" t="s">
        <v>64</v>
      </c>
    </row>
    <row r="59" spans="1:13" x14ac:dyDescent="0.35">
      <c r="A59" s="1">
        <v>45309</v>
      </c>
      <c r="B59" t="s">
        <v>29</v>
      </c>
      <c r="C59" t="s">
        <v>20</v>
      </c>
      <c r="D59" t="s">
        <v>21</v>
      </c>
      <c r="E59" t="s">
        <v>22</v>
      </c>
      <c r="F59">
        <v>9</v>
      </c>
      <c r="G59">
        <v>340</v>
      </c>
      <c r="H59">
        <v>3060</v>
      </c>
      <c r="I59">
        <v>2142</v>
      </c>
      <c r="J59">
        <v>918</v>
      </c>
      <c r="K59">
        <v>0.42857142857142855</v>
      </c>
      <c r="L59">
        <v>1</v>
      </c>
      <c r="M59" t="s">
        <v>64</v>
      </c>
    </row>
    <row r="60" spans="1:13" x14ac:dyDescent="0.35">
      <c r="A60" s="1">
        <v>45309</v>
      </c>
      <c r="B60" t="s">
        <v>23</v>
      </c>
      <c r="C60" t="s">
        <v>24</v>
      </c>
      <c r="D60" t="s">
        <v>25</v>
      </c>
      <c r="E60" t="s">
        <v>26</v>
      </c>
      <c r="F60">
        <v>19</v>
      </c>
      <c r="G60">
        <v>120</v>
      </c>
      <c r="H60">
        <v>2280</v>
      </c>
      <c r="I60">
        <v>1596</v>
      </c>
      <c r="J60">
        <v>684</v>
      </c>
      <c r="K60">
        <v>0.42857142857142855</v>
      </c>
      <c r="L60">
        <v>1</v>
      </c>
      <c r="M60" t="s">
        <v>64</v>
      </c>
    </row>
    <row r="61" spans="1:13" x14ac:dyDescent="0.35">
      <c r="A61" s="1">
        <v>45310</v>
      </c>
      <c r="B61" t="s">
        <v>11</v>
      </c>
      <c r="C61" t="s">
        <v>12</v>
      </c>
      <c r="D61" t="s">
        <v>13</v>
      </c>
      <c r="E61" t="s">
        <v>44</v>
      </c>
      <c r="F61">
        <v>26</v>
      </c>
      <c r="G61">
        <v>225</v>
      </c>
      <c r="H61">
        <v>5850</v>
      </c>
      <c r="I61">
        <v>4095</v>
      </c>
      <c r="J61">
        <v>1755</v>
      </c>
      <c r="K61">
        <v>0.42857142857142855</v>
      </c>
      <c r="L61">
        <v>1</v>
      </c>
      <c r="M61" t="s">
        <v>64</v>
      </c>
    </row>
    <row r="62" spans="1:13" x14ac:dyDescent="0.35">
      <c r="A62" s="1">
        <v>45310</v>
      </c>
      <c r="B62" t="s">
        <v>34</v>
      </c>
      <c r="C62" t="s">
        <v>20</v>
      </c>
      <c r="D62" t="s">
        <v>21</v>
      </c>
      <c r="E62" t="s">
        <v>30</v>
      </c>
      <c r="F62">
        <v>14</v>
      </c>
      <c r="G62">
        <v>290</v>
      </c>
      <c r="H62">
        <v>4060</v>
      </c>
      <c r="I62">
        <v>2842</v>
      </c>
      <c r="J62">
        <v>1218</v>
      </c>
      <c r="K62">
        <v>0.42857142857142855</v>
      </c>
      <c r="L62">
        <v>1</v>
      </c>
      <c r="M62" t="s">
        <v>64</v>
      </c>
    </row>
    <row r="63" spans="1:13" x14ac:dyDescent="0.35">
      <c r="A63" s="1">
        <v>45310</v>
      </c>
      <c r="B63" t="s">
        <v>31</v>
      </c>
      <c r="C63" t="s">
        <v>24</v>
      </c>
      <c r="D63" t="s">
        <v>25</v>
      </c>
      <c r="E63" t="s">
        <v>32</v>
      </c>
      <c r="F63">
        <v>21</v>
      </c>
      <c r="G63">
        <v>140</v>
      </c>
      <c r="H63">
        <v>2940</v>
      </c>
      <c r="I63">
        <v>2058</v>
      </c>
      <c r="J63">
        <v>882</v>
      </c>
      <c r="K63">
        <v>0.42857142857142855</v>
      </c>
      <c r="L63">
        <v>1</v>
      </c>
      <c r="M63" t="s">
        <v>64</v>
      </c>
    </row>
    <row r="64" spans="1:13" x14ac:dyDescent="0.35">
      <c r="A64" s="1">
        <v>45310</v>
      </c>
      <c r="B64" t="s">
        <v>15</v>
      </c>
      <c r="C64" t="s">
        <v>16</v>
      </c>
      <c r="D64" t="s">
        <v>17</v>
      </c>
      <c r="E64" t="s">
        <v>33</v>
      </c>
      <c r="F64">
        <v>54</v>
      </c>
      <c r="G64">
        <v>5</v>
      </c>
      <c r="H64">
        <v>270</v>
      </c>
      <c r="I64">
        <v>189</v>
      </c>
      <c r="J64">
        <v>81</v>
      </c>
      <c r="K64">
        <v>0.42857142857142855</v>
      </c>
      <c r="L64">
        <v>1</v>
      </c>
      <c r="M64" t="s">
        <v>64</v>
      </c>
    </row>
    <row r="65" spans="1:13" x14ac:dyDescent="0.35">
      <c r="A65" s="1">
        <v>45311</v>
      </c>
      <c r="B65" t="s">
        <v>38</v>
      </c>
      <c r="C65" t="s">
        <v>12</v>
      </c>
      <c r="D65" t="s">
        <v>13</v>
      </c>
      <c r="E65" t="s">
        <v>41</v>
      </c>
      <c r="F65">
        <v>15</v>
      </c>
      <c r="G65">
        <v>380</v>
      </c>
      <c r="H65">
        <v>5700</v>
      </c>
      <c r="I65">
        <v>3990</v>
      </c>
      <c r="J65">
        <v>1710</v>
      </c>
      <c r="K65">
        <v>0.42857142857142855</v>
      </c>
      <c r="L65">
        <v>1</v>
      </c>
      <c r="M65" t="s">
        <v>64</v>
      </c>
    </row>
    <row r="66" spans="1:13" x14ac:dyDescent="0.35">
      <c r="A66" s="1">
        <v>45311</v>
      </c>
      <c r="B66" t="s">
        <v>19</v>
      </c>
      <c r="C66" t="s">
        <v>20</v>
      </c>
      <c r="D66" t="s">
        <v>21</v>
      </c>
      <c r="E66" t="s">
        <v>35</v>
      </c>
      <c r="F66">
        <v>10</v>
      </c>
      <c r="G66">
        <v>170</v>
      </c>
      <c r="H66">
        <v>1700</v>
      </c>
      <c r="I66">
        <v>1190</v>
      </c>
      <c r="J66">
        <v>510</v>
      </c>
      <c r="K66">
        <v>0.42857142857142855</v>
      </c>
      <c r="L66">
        <v>1</v>
      </c>
      <c r="M66" t="s">
        <v>64</v>
      </c>
    </row>
    <row r="67" spans="1:13" x14ac:dyDescent="0.35">
      <c r="A67" s="1">
        <v>45311</v>
      </c>
      <c r="B67" t="s">
        <v>23</v>
      </c>
      <c r="C67" t="s">
        <v>24</v>
      </c>
      <c r="D67" t="s">
        <v>25</v>
      </c>
      <c r="E67" t="s">
        <v>36</v>
      </c>
      <c r="F67">
        <v>24</v>
      </c>
      <c r="G67">
        <v>80</v>
      </c>
      <c r="H67">
        <v>1920</v>
      </c>
      <c r="I67">
        <v>1344</v>
      </c>
      <c r="J67">
        <v>576</v>
      </c>
      <c r="K67">
        <v>0.42857142857142855</v>
      </c>
      <c r="L67">
        <v>1</v>
      </c>
      <c r="M67" t="s">
        <v>64</v>
      </c>
    </row>
    <row r="68" spans="1:13" x14ac:dyDescent="0.35">
      <c r="A68" s="1">
        <v>45311</v>
      </c>
      <c r="B68" t="s">
        <v>27</v>
      </c>
      <c r="C68" t="s">
        <v>16</v>
      </c>
      <c r="D68" t="s">
        <v>17</v>
      </c>
      <c r="E68" t="s">
        <v>37</v>
      </c>
      <c r="F68">
        <v>66</v>
      </c>
      <c r="G68">
        <v>8</v>
      </c>
      <c r="H68">
        <v>528</v>
      </c>
      <c r="I68">
        <v>369.6</v>
      </c>
      <c r="J68">
        <v>158.4</v>
      </c>
      <c r="K68">
        <v>0.42857142857142855</v>
      </c>
      <c r="L68">
        <v>1</v>
      </c>
      <c r="M68" t="s">
        <v>64</v>
      </c>
    </row>
    <row r="69" spans="1:13" x14ac:dyDescent="0.35">
      <c r="A69" s="1">
        <v>45312</v>
      </c>
      <c r="B69" t="s">
        <v>42</v>
      </c>
      <c r="C69" t="s">
        <v>12</v>
      </c>
      <c r="D69" t="s">
        <v>13</v>
      </c>
      <c r="E69" t="s">
        <v>14</v>
      </c>
      <c r="F69">
        <v>14</v>
      </c>
      <c r="G69">
        <v>500</v>
      </c>
      <c r="H69">
        <v>7000</v>
      </c>
      <c r="I69">
        <v>4900</v>
      </c>
      <c r="J69">
        <v>2100</v>
      </c>
      <c r="K69">
        <v>0.42857142857142855</v>
      </c>
      <c r="L69">
        <v>1</v>
      </c>
      <c r="M69" t="s">
        <v>64</v>
      </c>
    </row>
    <row r="70" spans="1:13" x14ac:dyDescent="0.35">
      <c r="A70" s="1">
        <v>45312</v>
      </c>
      <c r="B70" t="s">
        <v>29</v>
      </c>
      <c r="C70" t="s">
        <v>20</v>
      </c>
      <c r="D70" t="s">
        <v>21</v>
      </c>
      <c r="E70" t="s">
        <v>39</v>
      </c>
      <c r="F70">
        <v>9</v>
      </c>
      <c r="G70">
        <v>145</v>
      </c>
      <c r="H70">
        <v>1305</v>
      </c>
      <c r="I70">
        <v>913.5</v>
      </c>
      <c r="J70">
        <v>391.5</v>
      </c>
      <c r="K70">
        <v>0.42857142857142855</v>
      </c>
      <c r="L70">
        <v>1</v>
      </c>
      <c r="M70" t="s">
        <v>64</v>
      </c>
    </row>
    <row r="71" spans="1:13" x14ac:dyDescent="0.35">
      <c r="A71" s="1">
        <v>45312</v>
      </c>
      <c r="B71" t="s">
        <v>31</v>
      </c>
      <c r="C71" t="s">
        <v>24</v>
      </c>
      <c r="D71" t="s">
        <v>25</v>
      </c>
      <c r="E71" t="s">
        <v>40</v>
      </c>
      <c r="F71">
        <v>16</v>
      </c>
      <c r="G71">
        <v>105</v>
      </c>
      <c r="H71">
        <v>1680</v>
      </c>
      <c r="I71">
        <v>1176</v>
      </c>
      <c r="J71">
        <v>504</v>
      </c>
      <c r="K71">
        <v>0.42857142857142855</v>
      </c>
      <c r="L71">
        <v>1</v>
      </c>
      <c r="M71" t="s">
        <v>64</v>
      </c>
    </row>
    <row r="72" spans="1:13" x14ac:dyDescent="0.35">
      <c r="A72" s="1">
        <v>45312</v>
      </c>
      <c r="B72" t="s">
        <v>15</v>
      </c>
      <c r="C72" t="s">
        <v>16</v>
      </c>
      <c r="D72" t="s">
        <v>17</v>
      </c>
      <c r="E72" t="s">
        <v>18</v>
      </c>
      <c r="F72">
        <v>32</v>
      </c>
      <c r="G72">
        <v>17</v>
      </c>
      <c r="H72">
        <v>544</v>
      </c>
      <c r="I72">
        <v>380.8</v>
      </c>
      <c r="J72">
        <v>163.19999999999999</v>
      </c>
      <c r="K72">
        <v>0.42857142857142855</v>
      </c>
      <c r="L72">
        <v>1</v>
      </c>
      <c r="M72" t="s">
        <v>64</v>
      </c>
    </row>
    <row r="73" spans="1:13" x14ac:dyDescent="0.35">
      <c r="A73" s="1">
        <v>45313</v>
      </c>
      <c r="B73" t="s">
        <v>11</v>
      </c>
      <c r="C73" t="s">
        <v>12</v>
      </c>
      <c r="D73" t="s">
        <v>13</v>
      </c>
      <c r="E73" t="s">
        <v>43</v>
      </c>
      <c r="F73">
        <v>11</v>
      </c>
      <c r="G73">
        <v>1010</v>
      </c>
      <c r="H73">
        <v>11110</v>
      </c>
      <c r="I73">
        <v>7777</v>
      </c>
      <c r="J73">
        <v>3333</v>
      </c>
      <c r="K73">
        <v>0.42857142857142855</v>
      </c>
      <c r="L73">
        <v>1</v>
      </c>
      <c r="M73" t="s">
        <v>64</v>
      </c>
    </row>
    <row r="74" spans="1:13" x14ac:dyDescent="0.35">
      <c r="A74" s="1">
        <v>45313</v>
      </c>
      <c r="B74" t="s">
        <v>34</v>
      </c>
      <c r="C74" t="s">
        <v>20</v>
      </c>
      <c r="D74" t="s">
        <v>21</v>
      </c>
      <c r="E74" t="s">
        <v>22</v>
      </c>
      <c r="F74">
        <v>7</v>
      </c>
      <c r="G74">
        <v>350</v>
      </c>
      <c r="H74">
        <v>2450</v>
      </c>
      <c r="I74">
        <v>1715</v>
      </c>
      <c r="J74">
        <v>735</v>
      </c>
      <c r="K74">
        <v>0.42857142857142855</v>
      </c>
      <c r="L74">
        <v>1</v>
      </c>
      <c r="M74" t="s">
        <v>64</v>
      </c>
    </row>
    <row r="75" spans="1:13" x14ac:dyDescent="0.35">
      <c r="A75" s="1">
        <v>45313</v>
      </c>
      <c r="B75" t="s">
        <v>23</v>
      </c>
      <c r="C75" t="s">
        <v>24</v>
      </c>
      <c r="D75" t="s">
        <v>25</v>
      </c>
      <c r="E75" t="s">
        <v>26</v>
      </c>
      <c r="F75">
        <v>20</v>
      </c>
      <c r="G75">
        <v>125</v>
      </c>
      <c r="H75">
        <v>2500</v>
      </c>
      <c r="I75">
        <v>1750</v>
      </c>
      <c r="J75">
        <v>750</v>
      </c>
      <c r="K75">
        <v>0.42857142857142855</v>
      </c>
      <c r="L75">
        <v>1</v>
      </c>
      <c r="M75" t="s">
        <v>64</v>
      </c>
    </row>
    <row r="76" spans="1:13" x14ac:dyDescent="0.35">
      <c r="A76" s="1">
        <v>45313</v>
      </c>
      <c r="B76" t="s">
        <v>27</v>
      </c>
      <c r="C76" t="s">
        <v>16</v>
      </c>
      <c r="D76" t="s">
        <v>17</v>
      </c>
      <c r="E76" t="s">
        <v>28</v>
      </c>
      <c r="F76">
        <v>39</v>
      </c>
      <c r="G76">
        <v>12</v>
      </c>
      <c r="H76">
        <v>468</v>
      </c>
      <c r="I76">
        <v>327.60000000000002</v>
      </c>
      <c r="J76">
        <v>140.4</v>
      </c>
      <c r="K76">
        <v>0.42857142857142855</v>
      </c>
      <c r="L76">
        <v>1</v>
      </c>
      <c r="M76" t="s">
        <v>64</v>
      </c>
    </row>
    <row r="77" spans="1:13" x14ac:dyDescent="0.35">
      <c r="A77" s="1">
        <v>45314</v>
      </c>
      <c r="B77" t="s">
        <v>38</v>
      </c>
      <c r="C77" t="s">
        <v>12</v>
      </c>
      <c r="D77" t="s">
        <v>13</v>
      </c>
      <c r="E77" t="s">
        <v>44</v>
      </c>
      <c r="F77">
        <v>25</v>
      </c>
      <c r="G77">
        <v>230</v>
      </c>
      <c r="H77">
        <v>5750</v>
      </c>
      <c r="I77">
        <v>4025</v>
      </c>
      <c r="J77">
        <v>1725</v>
      </c>
      <c r="K77">
        <v>0.42857142857142855</v>
      </c>
      <c r="L77">
        <v>1</v>
      </c>
      <c r="M77" t="s">
        <v>64</v>
      </c>
    </row>
    <row r="78" spans="1:13" x14ac:dyDescent="0.35">
      <c r="A78" s="1">
        <v>45314</v>
      </c>
      <c r="B78" t="s">
        <v>19</v>
      </c>
      <c r="C78" t="s">
        <v>20</v>
      </c>
      <c r="D78" t="s">
        <v>21</v>
      </c>
      <c r="E78" t="s">
        <v>30</v>
      </c>
      <c r="F78">
        <v>13</v>
      </c>
      <c r="G78">
        <v>300</v>
      </c>
      <c r="H78">
        <v>3900</v>
      </c>
      <c r="I78">
        <v>2730</v>
      </c>
      <c r="J78">
        <v>1170</v>
      </c>
      <c r="K78">
        <v>0.42857142857142855</v>
      </c>
      <c r="L78">
        <v>1</v>
      </c>
      <c r="M78" t="s">
        <v>64</v>
      </c>
    </row>
    <row r="79" spans="1:13" x14ac:dyDescent="0.35">
      <c r="A79" s="1">
        <v>45314</v>
      </c>
      <c r="B79" t="s">
        <v>31</v>
      </c>
      <c r="C79" t="s">
        <v>24</v>
      </c>
      <c r="D79" t="s">
        <v>25</v>
      </c>
      <c r="E79" t="s">
        <v>32</v>
      </c>
      <c r="F79">
        <v>18</v>
      </c>
      <c r="G79">
        <v>145</v>
      </c>
      <c r="H79">
        <v>2610</v>
      </c>
      <c r="I79">
        <v>1827</v>
      </c>
      <c r="J79">
        <v>783</v>
      </c>
      <c r="K79">
        <v>0.42857142857142855</v>
      </c>
      <c r="L79">
        <v>1</v>
      </c>
      <c r="M79" t="s">
        <v>64</v>
      </c>
    </row>
    <row r="80" spans="1:13" x14ac:dyDescent="0.35">
      <c r="A80" s="1">
        <v>45314</v>
      </c>
      <c r="B80" t="s">
        <v>15</v>
      </c>
      <c r="C80" t="s">
        <v>16</v>
      </c>
      <c r="D80" t="s">
        <v>17</v>
      </c>
      <c r="E80" t="s">
        <v>33</v>
      </c>
      <c r="F80">
        <v>59</v>
      </c>
      <c r="G80">
        <v>6</v>
      </c>
      <c r="H80">
        <v>354</v>
      </c>
      <c r="I80">
        <v>247.8</v>
      </c>
      <c r="J80">
        <v>106.2</v>
      </c>
      <c r="K80">
        <v>0.42857142857142855</v>
      </c>
      <c r="L80">
        <v>1</v>
      </c>
      <c r="M80" t="s">
        <v>64</v>
      </c>
    </row>
    <row r="81" spans="1:13" x14ac:dyDescent="0.35">
      <c r="A81" s="1">
        <v>45315</v>
      </c>
      <c r="B81" t="s">
        <v>42</v>
      </c>
      <c r="C81" t="s">
        <v>12</v>
      </c>
      <c r="D81" t="s">
        <v>13</v>
      </c>
      <c r="E81" t="s">
        <v>41</v>
      </c>
      <c r="F81">
        <v>16</v>
      </c>
      <c r="G81">
        <v>390</v>
      </c>
      <c r="H81">
        <v>6240</v>
      </c>
      <c r="I81">
        <v>4368</v>
      </c>
      <c r="J81">
        <v>1872</v>
      </c>
      <c r="K81">
        <v>0.42857142857142855</v>
      </c>
      <c r="L81">
        <v>1</v>
      </c>
      <c r="M81" t="s">
        <v>64</v>
      </c>
    </row>
    <row r="82" spans="1:13" x14ac:dyDescent="0.35">
      <c r="A82" s="1">
        <v>45315</v>
      </c>
      <c r="B82" t="s">
        <v>29</v>
      </c>
      <c r="C82" t="s">
        <v>20</v>
      </c>
      <c r="D82" t="s">
        <v>21</v>
      </c>
      <c r="E82" t="s">
        <v>35</v>
      </c>
      <c r="F82">
        <v>12</v>
      </c>
      <c r="G82">
        <v>175</v>
      </c>
      <c r="H82">
        <v>2100</v>
      </c>
      <c r="I82">
        <v>1470</v>
      </c>
      <c r="J82">
        <v>630</v>
      </c>
      <c r="K82">
        <v>0.42857142857142855</v>
      </c>
      <c r="L82">
        <v>1</v>
      </c>
      <c r="M82" t="s">
        <v>64</v>
      </c>
    </row>
    <row r="83" spans="1:13" x14ac:dyDescent="0.35">
      <c r="A83" s="1">
        <v>45315</v>
      </c>
      <c r="B83" t="s">
        <v>23</v>
      </c>
      <c r="C83" t="s">
        <v>24</v>
      </c>
      <c r="D83" t="s">
        <v>25</v>
      </c>
      <c r="E83" t="s">
        <v>36</v>
      </c>
      <c r="F83">
        <v>25</v>
      </c>
      <c r="G83">
        <v>85</v>
      </c>
      <c r="H83">
        <v>2125</v>
      </c>
      <c r="I83">
        <v>1487.5</v>
      </c>
      <c r="J83">
        <v>637.5</v>
      </c>
      <c r="K83">
        <v>0.42857142857142855</v>
      </c>
      <c r="L83">
        <v>1</v>
      </c>
      <c r="M83" t="s">
        <v>64</v>
      </c>
    </row>
    <row r="84" spans="1:13" x14ac:dyDescent="0.35">
      <c r="A84" s="1">
        <v>45315</v>
      </c>
      <c r="B84" t="s">
        <v>27</v>
      </c>
      <c r="C84" t="s">
        <v>16</v>
      </c>
      <c r="D84" t="s">
        <v>17</v>
      </c>
      <c r="E84" t="s">
        <v>37</v>
      </c>
      <c r="F84">
        <v>65</v>
      </c>
      <c r="G84">
        <v>9</v>
      </c>
      <c r="H84">
        <v>585</v>
      </c>
      <c r="I84">
        <v>409.5</v>
      </c>
      <c r="J84">
        <v>175.5</v>
      </c>
      <c r="K84">
        <v>0.42857142857142855</v>
      </c>
      <c r="L84">
        <v>1</v>
      </c>
      <c r="M84" t="s">
        <v>64</v>
      </c>
    </row>
    <row r="85" spans="1:13" x14ac:dyDescent="0.35">
      <c r="A85" s="1">
        <v>45316</v>
      </c>
      <c r="B85" t="s">
        <v>11</v>
      </c>
      <c r="C85" t="s">
        <v>12</v>
      </c>
      <c r="D85" t="s">
        <v>13</v>
      </c>
      <c r="E85" t="s">
        <v>14</v>
      </c>
      <c r="F85">
        <v>15</v>
      </c>
      <c r="G85">
        <v>510</v>
      </c>
      <c r="H85">
        <v>7650</v>
      </c>
      <c r="I85">
        <v>5355</v>
      </c>
      <c r="J85">
        <v>2295</v>
      </c>
      <c r="K85">
        <v>0.42857142857142855</v>
      </c>
      <c r="L85">
        <v>1</v>
      </c>
      <c r="M85" t="s">
        <v>64</v>
      </c>
    </row>
    <row r="86" spans="1:13" x14ac:dyDescent="0.35">
      <c r="A86" s="1">
        <v>45316</v>
      </c>
      <c r="B86" t="s">
        <v>34</v>
      </c>
      <c r="C86" t="s">
        <v>20</v>
      </c>
      <c r="D86" t="s">
        <v>21</v>
      </c>
      <c r="E86" t="s">
        <v>39</v>
      </c>
      <c r="F86">
        <v>10</v>
      </c>
      <c r="G86">
        <v>150</v>
      </c>
      <c r="H86">
        <v>1500</v>
      </c>
      <c r="I86">
        <v>1050</v>
      </c>
      <c r="J86">
        <v>450</v>
      </c>
      <c r="K86">
        <v>0.42857142857142855</v>
      </c>
      <c r="L86">
        <v>1</v>
      </c>
      <c r="M86" t="s">
        <v>64</v>
      </c>
    </row>
    <row r="87" spans="1:13" x14ac:dyDescent="0.35">
      <c r="A87" s="1">
        <v>45316</v>
      </c>
      <c r="B87" t="s">
        <v>31</v>
      </c>
      <c r="C87" t="s">
        <v>24</v>
      </c>
      <c r="D87" t="s">
        <v>25</v>
      </c>
      <c r="E87" t="s">
        <v>40</v>
      </c>
      <c r="F87">
        <v>17</v>
      </c>
      <c r="G87">
        <v>110</v>
      </c>
      <c r="H87">
        <v>1870</v>
      </c>
      <c r="I87">
        <v>1309</v>
      </c>
      <c r="J87">
        <v>561</v>
      </c>
      <c r="K87">
        <v>0.42857142857142855</v>
      </c>
      <c r="L87">
        <v>1</v>
      </c>
      <c r="M87" t="s">
        <v>64</v>
      </c>
    </row>
    <row r="88" spans="1:13" x14ac:dyDescent="0.35">
      <c r="A88" s="1">
        <v>45317</v>
      </c>
      <c r="B88" t="s">
        <v>38</v>
      </c>
      <c r="C88" t="s">
        <v>12</v>
      </c>
      <c r="D88" t="s">
        <v>13</v>
      </c>
      <c r="E88" t="s">
        <v>43</v>
      </c>
      <c r="F88">
        <v>12</v>
      </c>
      <c r="G88">
        <v>1030</v>
      </c>
      <c r="H88">
        <v>12360</v>
      </c>
      <c r="I88">
        <v>8652</v>
      </c>
      <c r="J88">
        <v>3708</v>
      </c>
      <c r="K88">
        <v>0.42857142857142855</v>
      </c>
      <c r="L88">
        <v>1</v>
      </c>
      <c r="M88" t="s">
        <v>64</v>
      </c>
    </row>
    <row r="89" spans="1:13" x14ac:dyDescent="0.35">
      <c r="A89" s="1">
        <v>45317</v>
      </c>
      <c r="B89" t="s">
        <v>19</v>
      </c>
      <c r="C89" t="s">
        <v>20</v>
      </c>
      <c r="D89" t="s">
        <v>21</v>
      </c>
      <c r="E89" t="s">
        <v>22</v>
      </c>
      <c r="F89">
        <v>8</v>
      </c>
      <c r="G89">
        <v>360</v>
      </c>
      <c r="H89">
        <v>2880</v>
      </c>
      <c r="I89">
        <v>2016</v>
      </c>
      <c r="J89">
        <v>864</v>
      </c>
      <c r="K89">
        <v>0.42857142857142855</v>
      </c>
      <c r="L89">
        <v>1</v>
      </c>
      <c r="M89" t="s">
        <v>64</v>
      </c>
    </row>
    <row r="90" spans="1:13" x14ac:dyDescent="0.35">
      <c r="A90" s="1">
        <v>45317</v>
      </c>
      <c r="B90" t="s">
        <v>23</v>
      </c>
      <c r="C90" t="s">
        <v>24</v>
      </c>
      <c r="D90" t="s">
        <v>25</v>
      </c>
      <c r="E90" t="s">
        <v>26</v>
      </c>
      <c r="F90">
        <v>21</v>
      </c>
      <c r="G90">
        <v>130</v>
      </c>
      <c r="H90">
        <v>2730</v>
      </c>
      <c r="I90">
        <v>1911</v>
      </c>
      <c r="J90">
        <v>819</v>
      </c>
      <c r="K90">
        <v>0.42857142857142855</v>
      </c>
      <c r="L90">
        <v>1</v>
      </c>
      <c r="M90" t="s">
        <v>64</v>
      </c>
    </row>
    <row r="91" spans="1:13" x14ac:dyDescent="0.35">
      <c r="A91" s="1">
        <v>45318</v>
      </c>
      <c r="B91" t="s">
        <v>42</v>
      </c>
      <c r="C91" t="s">
        <v>12</v>
      </c>
      <c r="D91" t="s">
        <v>13</v>
      </c>
      <c r="E91" t="s">
        <v>44</v>
      </c>
      <c r="F91">
        <v>27</v>
      </c>
      <c r="G91">
        <v>240</v>
      </c>
      <c r="H91">
        <v>6480</v>
      </c>
      <c r="I91">
        <v>4536</v>
      </c>
      <c r="J91">
        <v>1944</v>
      </c>
      <c r="K91">
        <v>0.42857142857142855</v>
      </c>
      <c r="L91">
        <v>1</v>
      </c>
      <c r="M91" t="s">
        <v>64</v>
      </c>
    </row>
    <row r="92" spans="1:13" x14ac:dyDescent="0.35">
      <c r="A92" s="1">
        <v>45318</v>
      </c>
      <c r="B92" t="s">
        <v>29</v>
      </c>
      <c r="C92" t="s">
        <v>20</v>
      </c>
      <c r="D92" t="s">
        <v>21</v>
      </c>
      <c r="E92" t="s">
        <v>30</v>
      </c>
      <c r="F92">
        <v>14</v>
      </c>
      <c r="G92">
        <v>310</v>
      </c>
      <c r="H92">
        <v>4340</v>
      </c>
      <c r="I92">
        <v>3038</v>
      </c>
      <c r="J92">
        <v>1302</v>
      </c>
      <c r="K92">
        <v>0.42857142857142855</v>
      </c>
      <c r="L92">
        <v>1</v>
      </c>
      <c r="M92" t="s">
        <v>64</v>
      </c>
    </row>
    <row r="93" spans="1:13" x14ac:dyDescent="0.35">
      <c r="A93" s="1">
        <v>45318</v>
      </c>
      <c r="B93" t="s">
        <v>31</v>
      </c>
      <c r="C93" t="s">
        <v>24</v>
      </c>
      <c r="D93" t="s">
        <v>25</v>
      </c>
      <c r="E93" t="s">
        <v>32</v>
      </c>
      <c r="F93">
        <v>19</v>
      </c>
      <c r="G93">
        <v>150</v>
      </c>
      <c r="H93">
        <v>2850</v>
      </c>
      <c r="I93">
        <v>1995</v>
      </c>
      <c r="J93">
        <v>855</v>
      </c>
      <c r="K93">
        <v>0.42857142857142855</v>
      </c>
      <c r="L93">
        <v>1</v>
      </c>
      <c r="M93" t="s">
        <v>64</v>
      </c>
    </row>
    <row r="94" spans="1:13" x14ac:dyDescent="0.35">
      <c r="A94" s="1">
        <v>45319</v>
      </c>
      <c r="B94" t="s">
        <v>11</v>
      </c>
      <c r="C94" t="s">
        <v>12</v>
      </c>
      <c r="D94" t="s">
        <v>13</v>
      </c>
      <c r="E94" t="s">
        <v>41</v>
      </c>
      <c r="F94">
        <v>17</v>
      </c>
      <c r="G94">
        <v>400</v>
      </c>
      <c r="H94">
        <v>6800</v>
      </c>
      <c r="I94">
        <v>4760</v>
      </c>
      <c r="J94">
        <v>2040</v>
      </c>
      <c r="K94">
        <v>0.42857142857142855</v>
      </c>
      <c r="L94">
        <v>1</v>
      </c>
      <c r="M94" t="s">
        <v>64</v>
      </c>
    </row>
    <row r="95" spans="1:13" x14ac:dyDescent="0.35">
      <c r="A95" s="1">
        <v>45319</v>
      </c>
      <c r="B95" t="s">
        <v>34</v>
      </c>
      <c r="C95" t="s">
        <v>20</v>
      </c>
      <c r="D95" t="s">
        <v>21</v>
      </c>
      <c r="E95" t="s">
        <v>35</v>
      </c>
      <c r="F95">
        <v>11</v>
      </c>
      <c r="G95">
        <v>180</v>
      </c>
      <c r="H95">
        <v>1980</v>
      </c>
      <c r="I95">
        <v>1386</v>
      </c>
      <c r="J95">
        <v>594</v>
      </c>
      <c r="K95">
        <v>0.42857142857142855</v>
      </c>
      <c r="L95">
        <v>1</v>
      </c>
      <c r="M95" t="s">
        <v>64</v>
      </c>
    </row>
    <row r="96" spans="1:13" x14ac:dyDescent="0.35">
      <c r="A96" s="1">
        <v>45319</v>
      </c>
      <c r="B96" t="s">
        <v>23</v>
      </c>
      <c r="C96" t="s">
        <v>24</v>
      </c>
      <c r="D96" t="s">
        <v>25</v>
      </c>
      <c r="E96" t="s">
        <v>36</v>
      </c>
      <c r="F96">
        <v>26</v>
      </c>
      <c r="G96">
        <v>90</v>
      </c>
      <c r="H96">
        <v>2340</v>
      </c>
      <c r="I96">
        <v>1638</v>
      </c>
      <c r="J96">
        <v>702</v>
      </c>
      <c r="K96">
        <v>0.42857142857142855</v>
      </c>
      <c r="L96">
        <v>1</v>
      </c>
      <c r="M96" t="s">
        <v>64</v>
      </c>
    </row>
    <row r="97" spans="1:13" x14ac:dyDescent="0.35">
      <c r="A97" s="1">
        <v>45320</v>
      </c>
      <c r="B97" t="s">
        <v>38</v>
      </c>
      <c r="C97" t="s">
        <v>12</v>
      </c>
      <c r="D97" t="s">
        <v>13</v>
      </c>
      <c r="E97" t="s">
        <v>14</v>
      </c>
      <c r="F97">
        <v>16</v>
      </c>
      <c r="G97">
        <v>520</v>
      </c>
      <c r="H97">
        <v>8320</v>
      </c>
      <c r="I97">
        <v>5824</v>
      </c>
      <c r="J97">
        <v>2496</v>
      </c>
      <c r="K97">
        <v>0.42857142857142855</v>
      </c>
      <c r="L97">
        <v>1</v>
      </c>
      <c r="M97" t="s">
        <v>64</v>
      </c>
    </row>
    <row r="98" spans="1:13" x14ac:dyDescent="0.35">
      <c r="A98" s="1">
        <v>45320</v>
      </c>
      <c r="B98" t="s">
        <v>19</v>
      </c>
      <c r="C98" t="s">
        <v>20</v>
      </c>
      <c r="D98" t="s">
        <v>21</v>
      </c>
      <c r="E98" t="s">
        <v>39</v>
      </c>
      <c r="F98">
        <v>9</v>
      </c>
      <c r="G98">
        <v>155</v>
      </c>
      <c r="H98">
        <v>1395</v>
      </c>
      <c r="I98">
        <v>976.5</v>
      </c>
      <c r="J98">
        <v>418.5</v>
      </c>
      <c r="K98">
        <v>0.42857142857142855</v>
      </c>
      <c r="L98">
        <v>1</v>
      </c>
      <c r="M98" t="s">
        <v>64</v>
      </c>
    </row>
    <row r="99" spans="1:13" x14ac:dyDescent="0.35">
      <c r="A99" s="1">
        <v>45320</v>
      </c>
      <c r="B99" t="s">
        <v>31</v>
      </c>
      <c r="C99" t="s">
        <v>24</v>
      </c>
      <c r="D99" t="s">
        <v>25</v>
      </c>
      <c r="E99" t="s">
        <v>40</v>
      </c>
      <c r="F99">
        <v>18</v>
      </c>
      <c r="G99">
        <v>115</v>
      </c>
      <c r="H99">
        <v>2070</v>
      </c>
      <c r="I99">
        <v>1449</v>
      </c>
      <c r="J99">
        <v>621</v>
      </c>
      <c r="K99">
        <v>0.42857142857142855</v>
      </c>
      <c r="L99">
        <v>1</v>
      </c>
      <c r="M99" t="s">
        <v>64</v>
      </c>
    </row>
    <row r="100" spans="1:13" x14ac:dyDescent="0.35">
      <c r="A100" s="1">
        <v>45320</v>
      </c>
      <c r="B100" t="s">
        <v>15</v>
      </c>
      <c r="C100" t="s">
        <v>16</v>
      </c>
      <c r="D100" t="s">
        <v>17</v>
      </c>
      <c r="E100" t="s">
        <v>18</v>
      </c>
      <c r="F100">
        <v>36</v>
      </c>
      <c r="G100">
        <v>18</v>
      </c>
      <c r="H100">
        <v>648</v>
      </c>
      <c r="I100">
        <v>453.6</v>
      </c>
      <c r="J100">
        <v>194.4</v>
      </c>
      <c r="K100">
        <v>0.42857142857142855</v>
      </c>
      <c r="L100">
        <v>1</v>
      </c>
      <c r="M100" t="s">
        <v>64</v>
      </c>
    </row>
    <row r="101" spans="1:13" x14ac:dyDescent="0.35">
      <c r="A101" s="1">
        <v>45321</v>
      </c>
      <c r="B101" t="s">
        <v>42</v>
      </c>
      <c r="C101" t="s">
        <v>12</v>
      </c>
      <c r="D101" t="s">
        <v>13</v>
      </c>
      <c r="E101" t="s">
        <v>43</v>
      </c>
      <c r="F101">
        <v>13</v>
      </c>
      <c r="G101">
        <v>1050</v>
      </c>
      <c r="H101">
        <v>13650</v>
      </c>
      <c r="I101">
        <v>9555</v>
      </c>
      <c r="J101">
        <v>4095</v>
      </c>
      <c r="K101">
        <v>0.42857142857142855</v>
      </c>
      <c r="L101">
        <v>1</v>
      </c>
      <c r="M101" t="s">
        <v>64</v>
      </c>
    </row>
    <row r="102" spans="1:13" x14ac:dyDescent="0.35">
      <c r="A102" s="1">
        <v>45321</v>
      </c>
      <c r="B102" t="s">
        <v>29</v>
      </c>
      <c r="C102" t="s">
        <v>20</v>
      </c>
      <c r="D102" t="s">
        <v>21</v>
      </c>
      <c r="E102" t="s">
        <v>22</v>
      </c>
      <c r="F102">
        <v>10</v>
      </c>
      <c r="G102">
        <v>370</v>
      </c>
      <c r="H102">
        <v>3700</v>
      </c>
      <c r="I102">
        <v>2590</v>
      </c>
      <c r="J102">
        <v>1110</v>
      </c>
      <c r="K102">
        <v>0.42857142857142855</v>
      </c>
      <c r="L102">
        <v>1</v>
      </c>
      <c r="M102" t="s">
        <v>64</v>
      </c>
    </row>
    <row r="103" spans="1:13" x14ac:dyDescent="0.35">
      <c r="A103" s="1">
        <v>45321</v>
      </c>
      <c r="B103" t="s">
        <v>23</v>
      </c>
      <c r="C103" t="s">
        <v>24</v>
      </c>
      <c r="D103" t="s">
        <v>25</v>
      </c>
      <c r="E103" t="s">
        <v>26</v>
      </c>
      <c r="F103">
        <v>22</v>
      </c>
      <c r="G103">
        <v>135</v>
      </c>
      <c r="H103">
        <v>2970</v>
      </c>
      <c r="I103">
        <v>2079</v>
      </c>
      <c r="J103">
        <v>891</v>
      </c>
      <c r="K103">
        <v>0.42857142857142855</v>
      </c>
      <c r="L103">
        <v>1</v>
      </c>
      <c r="M103" t="s">
        <v>64</v>
      </c>
    </row>
    <row r="104" spans="1:13" x14ac:dyDescent="0.35">
      <c r="A104" s="1">
        <v>45321</v>
      </c>
      <c r="B104" t="s">
        <v>27</v>
      </c>
      <c r="C104" t="s">
        <v>16</v>
      </c>
      <c r="D104" t="s">
        <v>17</v>
      </c>
      <c r="E104" t="s">
        <v>28</v>
      </c>
      <c r="F104">
        <v>40</v>
      </c>
      <c r="G104">
        <v>13</v>
      </c>
      <c r="H104">
        <v>520</v>
      </c>
      <c r="I104">
        <v>364</v>
      </c>
      <c r="J104">
        <v>156</v>
      </c>
      <c r="K104">
        <v>0.42857142857142855</v>
      </c>
      <c r="L104">
        <v>1</v>
      </c>
      <c r="M104" t="s">
        <v>64</v>
      </c>
    </row>
    <row r="105" spans="1:13" x14ac:dyDescent="0.35">
      <c r="A105" s="1">
        <v>45322</v>
      </c>
      <c r="B105" t="s">
        <v>11</v>
      </c>
      <c r="C105" t="s">
        <v>12</v>
      </c>
      <c r="D105" t="s">
        <v>13</v>
      </c>
      <c r="E105" t="s">
        <v>44</v>
      </c>
      <c r="F105">
        <v>28</v>
      </c>
      <c r="G105">
        <v>250</v>
      </c>
      <c r="H105">
        <v>7000</v>
      </c>
      <c r="I105">
        <v>4900</v>
      </c>
      <c r="J105">
        <v>2100</v>
      </c>
      <c r="K105">
        <v>0.42857142857142855</v>
      </c>
      <c r="L105">
        <v>1</v>
      </c>
      <c r="M105" t="s">
        <v>64</v>
      </c>
    </row>
    <row r="106" spans="1:13" x14ac:dyDescent="0.35">
      <c r="A106" s="1">
        <v>45322</v>
      </c>
      <c r="B106" t="s">
        <v>34</v>
      </c>
      <c r="C106" t="s">
        <v>20</v>
      </c>
      <c r="D106" t="s">
        <v>21</v>
      </c>
      <c r="E106" t="s">
        <v>30</v>
      </c>
      <c r="F106">
        <v>15</v>
      </c>
      <c r="G106">
        <v>320</v>
      </c>
      <c r="H106">
        <v>4800</v>
      </c>
      <c r="I106">
        <v>3360</v>
      </c>
      <c r="J106">
        <v>1440</v>
      </c>
      <c r="K106">
        <v>0.42857142857142855</v>
      </c>
      <c r="L106">
        <v>1</v>
      </c>
      <c r="M106" t="s">
        <v>64</v>
      </c>
    </row>
    <row r="107" spans="1:13" x14ac:dyDescent="0.35">
      <c r="A107" s="1">
        <v>45322</v>
      </c>
      <c r="B107" t="s">
        <v>31</v>
      </c>
      <c r="C107" t="s">
        <v>24</v>
      </c>
      <c r="D107" t="s">
        <v>25</v>
      </c>
      <c r="E107" t="s">
        <v>32</v>
      </c>
      <c r="F107">
        <v>20</v>
      </c>
      <c r="G107">
        <v>155</v>
      </c>
      <c r="H107">
        <v>3100</v>
      </c>
      <c r="I107">
        <v>2170</v>
      </c>
      <c r="J107">
        <v>930</v>
      </c>
      <c r="K107">
        <v>0.42857142857142855</v>
      </c>
      <c r="L107">
        <v>1</v>
      </c>
      <c r="M107" t="s">
        <v>64</v>
      </c>
    </row>
    <row r="108" spans="1:13" x14ac:dyDescent="0.35">
      <c r="A108" s="1">
        <v>45322</v>
      </c>
      <c r="B108" t="s">
        <v>15</v>
      </c>
      <c r="C108" t="s">
        <v>16</v>
      </c>
      <c r="D108" t="s">
        <v>17</v>
      </c>
      <c r="E108" t="s">
        <v>33</v>
      </c>
      <c r="F108">
        <v>60</v>
      </c>
      <c r="G108">
        <v>6</v>
      </c>
      <c r="H108">
        <v>360</v>
      </c>
      <c r="I108">
        <v>252</v>
      </c>
      <c r="J108">
        <v>108</v>
      </c>
      <c r="K108">
        <v>0.42857142857142855</v>
      </c>
      <c r="L108">
        <v>1</v>
      </c>
      <c r="M108" t="s">
        <v>64</v>
      </c>
    </row>
    <row r="109" spans="1:13" x14ac:dyDescent="0.35">
      <c r="A109" s="1">
        <v>45323</v>
      </c>
      <c r="B109" t="s">
        <v>38</v>
      </c>
      <c r="C109" t="s">
        <v>12</v>
      </c>
      <c r="D109" t="s">
        <v>13</v>
      </c>
      <c r="E109" t="s">
        <v>41</v>
      </c>
      <c r="F109">
        <v>18</v>
      </c>
      <c r="G109">
        <v>410</v>
      </c>
      <c r="H109">
        <v>7380</v>
      </c>
      <c r="I109">
        <v>5166</v>
      </c>
      <c r="J109">
        <v>2214</v>
      </c>
      <c r="K109">
        <v>0.42857142857142855</v>
      </c>
      <c r="L109">
        <v>2</v>
      </c>
      <c r="M109" t="s">
        <v>65</v>
      </c>
    </row>
    <row r="110" spans="1:13" x14ac:dyDescent="0.35">
      <c r="A110" s="1">
        <v>45323</v>
      </c>
      <c r="B110" t="s">
        <v>19</v>
      </c>
      <c r="C110" t="s">
        <v>20</v>
      </c>
      <c r="D110" t="s">
        <v>21</v>
      </c>
      <c r="E110" t="s">
        <v>35</v>
      </c>
      <c r="F110">
        <v>12</v>
      </c>
      <c r="G110">
        <v>185</v>
      </c>
      <c r="H110">
        <v>2220</v>
      </c>
      <c r="I110">
        <v>1554</v>
      </c>
      <c r="J110">
        <v>666</v>
      </c>
      <c r="K110">
        <v>0.42857142857142855</v>
      </c>
      <c r="L110">
        <v>2</v>
      </c>
      <c r="M110" t="s">
        <v>65</v>
      </c>
    </row>
    <row r="111" spans="1:13" x14ac:dyDescent="0.35">
      <c r="A111" s="1">
        <v>45323</v>
      </c>
      <c r="B111" t="s">
        <v>23</v>
      </c>
      <c r="C111" t="s">
        <v>24</v>
      </c>
      <c r="D111" t="s">
        <v>25</v>
      </c>
      <c r="E111" t="s">
        <v>36</v>
      </c>
      <c r="F111">
        <v>27</v>
      </c>
      <c r="G111">
        <v>95</v>
      </c>
      <c r="H111">
        <v>2565</v>
      </c>
      <c r="I111">
        <v>1795.5</v>
      </c>
      <c r="J111">
        <v>769.5</v>
      </c>
      <c r="K111">
        <v>0.42857142857142855</v>
      </c>
      <c r="L111">
        <v>2</v>
      </c>
      <c r="M111" t="s">
        <v>65</v>
      </c>
    </row>
    <row r="112" spans="1:13" x14ac:dyDescent="0.35">
      <c r="A112" s="1">
        <v>45323</v>
      </c>
      <c r="B112" t="s">
        <v>27</v>
      </c>
      <c r="C112" t="s">
        <v>16</v>
      </c>
      <c r="D112" t="s">
        <v>17</v>
      </c>
      <c r="E112" t="s">
        <v>37</v>
      </c>
      <c r="F112">
        <v>70</v>
      </c>
      <c r="G112">
        <v>10</v>
      </c>
      <c r="H112">
        <v>700</v>
      </c>
      <c r="I112">
        <v>490</v>
      </c>
      <c r="J112">
        <v>210</v>
      </c>
      <c r="K112">
        <v>0.42857142857142855</v>
      </c>
      <c r="L112">
        <v>2</v>
      </c>
      <c r="M112" t="s">
        <v>65</v>
      </c>
    </row>
    <row r="113" spans="1:13" x14ac:dyDescent="0.35">
      <c r="A113" s="1">
        <v>45324</v>
      </c>
      <c r="B113" t="s">
        <v>42</v>
      </c>
      <c r="C113" t="s">
        <v>12</v>
      </c>
      <c r="D113" t="s">
        <v>13</v>
      </c>
      <c r="E113" t="s">
        <v>14</v>
      </c>
      <c r="F113">
        <v>17</v>
      </c>
      <c r="G113">
        <v>530</v>
      </c>
      <c r="H113">
        <v>9010</v>
      </c>
      <c r="I113">
        <v>6307</v>
      </c>
      <c r="J113">
        <v>2703</v>
      </c>
      <c r="K113">
        <v>0.42857142857142855</v>
      </c>
      <c r="L113">
        <v>2</v>
      </c>
      <c r="M113" t="s">
        <v>65</v>
      </c>
    </row>
    <row r="114" spans="1:13" x14ac:dyDescent="0.35">
      <c r="A114" s="1">
        <v>45324</v>
      </c>
      <c r="B114" t="s">
        <v>29</v>
      </c>
      <c r="C114" t="s">
        <v>20</v>
      </c>
      <c r="D114" t="s">
        <v>21</v>
      </c>
      <c r="E114" t="s">
        <v>39</v>
      </c>
      <c r="F114">
        <v>10</v>
      </c>
      <c r="G114">
        <v>160</v>
      </c>
      <c r="H114">
        <v>1600</v>
      </c>
      <c r="I114">
        <v>1120</v>
      </c>
      <c r="J114">
        <v>480</v>
      </c>
      <c r="K114">
        <v>0.42857142857142855</v>
      </c>
      <c r="L114">
        <v>2</v>
      </c>
      <c r="M114" t="s">
        <v>65</v>
      </c>
    </row>
    <row r="115" spans="1:13" x14ac:dyDescent="0.35">
      <c r="A115" s="1">
        <v>45324</v>
      </c>
      <c r="B115" t="s">
        <v>31</v>
      </c>
      <c r="C115" t="s">
        <v>24</v>
      </c>
      <c r="D115" t="s">
        <v>25</v>
      </c>
      <c r="E115" t="s">
        <v>40</v>
      </c>
      <c r="F115">
        <v>19</v>
      </c>
      <c r="G115">
        <v>120</v>
      </c>
      <c r="H115">
        <v>2280</v>
      </c>
      <c r="I115">
        <v>1596</v>
      </c>
      <c r="J115">
        <v>684</v>
      </c>
      <c r="K115">
        <v>0.42857142857142855</v>
      </c>
      <c r="L115">
        <v>2</v>
      </c>
      <c r="M115" t="s">
        <v>65</v>
      </c>
    </row>
    <row r="116" spans="1:13" x14ac:dyDescent="0.35">
      <c r="A116" s="1">
        <v>45325</v>
      </c>
      <c r="B116" t="s">
        <v>11</v>
      </c>
      <c r="C116" t="s">
        <v>12</v>
      </c>
      <c r="D116" t="s">
        <v>13</v>
      </c>
      <c r="E116" t="s">
        <v>43</v>
      </c>
      <c r="F116">
        <v>14</v>
      </c>
      <c r="G116">
        <v>1070</v>
      </c>
      <c r="H116">
        <v>14980</v>
      </c>
      <c r="I116">
        <v>10486</v>
      </c>
      <c r="J116">
        <v>4494</v>
      </c>
      <c r="K116">
        <v>0.42857142857142855</v>
      </c>
      <c r="L116">
        <v>2</v>
      </c>
      <c r="M116" t="s">
        <v>65</v>
      </c>
    </row>
    <row r="117" spans="1:13" x14ac:dyDescent="0.35">
      <c r="A117" s="1">
        <v>45325</v>
      </c>
      <c r="B117" t="s">
        <v>34</v>
      </c>
      <c r="C117" t="s">
        <v>20</v>
      </c>
      <c r="D117" t="s">
        <v>21</v>
      </c>
      <c r="E117" t="s">
        <v>22</v>
      </c>
      <c r="F117">
        <v>9</v>
      </c>
      <c r="G117">
        <v>380</v>
      </c>
      <c r="H117">
        <v>3420</v>
      </c>
      <c r="I117">
        <v>2394</v>
      </c>
      <c r="J117">
        <v>1026</v>
      </c>
      <c r="K117">
        <v>0.42857142857142855</v>
      </c>
      <c r="L117">
        <v>2</v>
      </c>
      <c r="M117" t="s">
        <v>65</v>
      </c>
    </row>
    <row r="118" spans="1:13" x14ac:dyDescent="0.35">
      <c r="A118" s="1">
        <v>45325</v>
      </c>
      <c r="B118" t="s">
        <v>23</v>
      </c>
      <c r="C118" t="s">
        <v>24</v>
      </c>
      <c r="D118" t="s">
        <v>25</v>
      </c>
      <c r="E118" t="s">
        <v>26</v>
      </c>
      <c r="F118">
        <v>23</v>
      </c>
      <c r="G118">
        <v>140</v>
      </c>
      <c r="H118">
        <v>3220</v>
      </c>
      <c r="I118">
        <v>2254</v>
      </c>
      <c r="J118">
        <v>966</v>
      </c>
      <c r="K118">
        <v>0.42857142857142855</v>
      </c>
      <c r="L118">
        <v>2</v>
      </c>
      <c r="M118" t="s">
        <v>65</v>
      </c>
    </row>
    <row r="119" spans="1:13" x14ac:dyDescent="0.35">
      <c r="A119" s="1">
        <v>45325</v>
      </c>
      <c r="B119" t="s">
        <v>27</v>
      </c>
      <c r="C119" t="s">
        <v>16</v>
      </c>
      <c r="D119" t="s">
        <v>17</v>
      </c>
      <c r="E119" t="s">
        <v>28</v>
      </c>
      <c r="F119">
        <v>41</v>
      </c>
      <c r="G119">
        <v>13</v>
      </c>
      <c r="H119">
        <v>533</v>
      </c>
      <c r="I119">
        <v>373.1</v>
      </c>
      <c r="J119">
        <v>159.9</v>
      </c>
      <c r="K119">
        <v>0.42857142857142855</v>
      </c>
      <c r="L119">
        <v>2</v>
      </c>
      <c r="M119" t="s">
        <v>65</v>
      </c>
    </row>
    <row r="120" spans="1:13" x14ac:dyDescent="0.35">
      <c r="A120" s="1">
        <v>45326</v>
      </c>
      <c r="B120" t="s">
        <v>38</v>
      </c>
      <c r="C120" t="s">
        <v>12</v>
      </c>
      <c r="D120" t="s">
        <v>13</v>
      </c>
      <c r="E120" t="s">
        <v>44</v>
      </c>
      <c r="F120">
        <v>29</v>
      </c>
      <c r="G120">
        <v>260</v>
      </c>
      <c r="H120">
        <v>7540</v>
      </c>
      <c r="I120">
        <v>5278</v>
      </c>
      <c r="J120">
        <v>2262</v>
      </c>
      <c r="K120">
        <v>0.42857142857142855</v>
      </c>
      <c r="L120">
        <v>2</v>
      </c>
      <c r="M120" t="s">
        <v>65</v>
      </c>
    </row>
    <row r="121" spans="1:13" x14ac:dyDescent="0.35">
      <c r="A121" s="1">
        <v>45326</v>
      </c>
      <c r="B121" t="s">
        <v>19</v>
      </c>
      <c r="C121" t="s">
        <v>20</v>
      </c>
      <c r="D121" t="s">
        <v>21</v>
      </c>
      <c r="E121" t="s">
        <v>30</v>
      </c>
      <c r="F121">
        <v>16</v>
      </c>
      <c r="G121">
        <v>330</v>
      </c>
      <c r="H121">
        <v>5280</v>
      </c>
      <c r="I121">
        <v>3696</v>
      </c>
      <c r="J121">
        <v>1584</v>
      </c>
      <c r="K121">
        <v>0.42857142857142855</v>
      </c>
      <c r="L121">
        <v>2</v>
      </c>
      <c r="M121" t="s">
        <v>65</v>
      </c>
    </row>
    <row r="122" spans="1:13" x14ac:dyDescent="0.35">
      <c r="A122" s="1">
        <v>45326</v>
      </c>
      <c r="B122" t="s">
        <v>31</v>
      </c>
      <c r="C122" t="s">
        <v>24</v>
      </c>
      <c r="D122" t="s">
        <v>25</v>
      </c>
      <c r="E122" t="s">
        <v>32</v>
      </c>
      <c r="F122">
        <v>21</v>
      </c>
      <c r="G122">
        <v>160</v>
      </c>
      <c r="H122">
        <v>3360</v>
      </c>
      <c r="I122">
        <v>2352</v>
      </c>
      <c r="J122">
        <v>1008</v>
      </c>
      <c r="K122">
        <v>0.42857142857142855</v>
      </c>
      <c r="L122">
        <v>2</v>
      </c>
      <c r="M122" t="s">
        <v>65</v>
      </c>
    </row>
    <row r="123" spans="1:13" x14ac:dyDescent="0.35">
      <c r="A123" s="1">
        <v>45327</v>
      </c>
      <c r="B123" t="s">
        <v>42</v>
      </c>
      <c r="C123" t="s">
        <v>12</v>
      </c>
      <c r="D123" t="s">
        <v>13</v>
      </c>
      <c r="E123" t="s">
        <v>41</v>
      </c>
      <c r="F123">
        <v>19</v>
      </c>
      <c r="G123">
        <v>420</v>
      </c>
      <c r="H123">
        <v>7980</v>
      </c>
      <c r="I123">
        <v>5586</v>
      </c>
      <c r="J123">
        <v>2394</v>
      </c>
      <c r="K123">
        <v>0.42857142857142855</v>
      </c>
      <c r="L123">
        <v>2</v>
      </c>
      <c r="M123" t="s">
        <v>65</v>
      </c>
    </row>
    <row r="124" spans="1:13" x14ac:dyDescent="0.35">
      <c r="A124" s="1">
        <v>45327</v>
      </c>
      <c r="B124" t="s">
        <v>29</v>
      </c>
      <c r="C124" t="s">
        <v>20</v>
      </c>
      <c r="D124" t="s">
        <v>21</v>
      </c>
      <c r="E124" t="s">
        <v>35</v>
      </c>
      <c r="F124">
        <v>13</v>
      </c>
      <c r="G124">
        <v>190</v>
      </c>
      <c r="H124">
        <v>2470</v>
      </c>
      <c r="I124">
        <v>1729</v>
      </c>
      <c r="J124">
        <v>741</v>
      </c>
      <c r="K124">
        <v>0.42857142857142855</v>
      </c>
      <c r="L124">
        <v>2</v>
      </c>
      <c r="M124" t="s">
        <v>65</v>
      </c>
    </row>
    <row r="125" spans="1:13" x14ac:dyDescent="0.35">
      <c r="A125" s="1">
        <v>45327</v>
      </c>
      <c r="B125" t="s">
        <v>23</v>
      </c>
      <c r="C125" t="s">
        <v>24</v>
      </c>
      <c r="D125" t="s">
        <v>25</v>
      </c>
      <c r="E125" t="s">
        <v>36</v>
      </c>
      <c r="F125">
        <v>28</v>
      </c>
      <c r="G125">
        <v>100</v>
      </c>
      <c r="H125">
        <v>2800</v>
      </c>
      <c r="I125">
        <v>1960</v>
      </c>
      <c r="J125">
        <v>840</v>
      </c>
      <c r="K125">
        <v>0.42857142857142855</v>
      </c>
      <c r="L125">
        <v>2</v>
      </c>
      <c r="M125" t="s">
        <v>65</v>
      </c>
    </row>
    <row r="126" spans="1:13" x14ac:dyDescent="0.35">
      <c r="A126" s="1">
        <v>45327</v>
      </c>
      <c r="B126" t="s">
        <v>27</v>
      </c>
      <c r="C126" t="s">
        <v>16</v>
      </c>
      <c r="D126" t="s">
        <v>17</v>
      </c>
      <c r="E126" t="s">
        <v>37</v>
      </c>
      <c r="F126">
        <v>72</v>
      </c>
      <c r="G126">
        <v>10</v>
      </c>
      <c r="H126">
        <v>720</v>
      </c>
      <c r="I126">
        <v>504</v>
      </c>
      <c r="J126">
        <v>216</v>
      </c>
      <c r="K126">
        <v>0.42857142857142855</v>
      </c>
      <c r="L126">
        <v>2</v>
      </c>
      <c r="M126" t="s">
        <v>65</v>
      </c>
    </row>
    <row r="127" spans="1:13" x14ac:dyDescent="0.35">
      <c r="A127" s="1">
        <v>45328</v>
      </c>
      <c r="B127" t="s">
        <v>11</v>
      </c>
      <c r="C127" t="s">
        <v>12</v>
      </c>
      <c r="D127" t="s">
        <v>13</v>
      </c>
      <c r="E127" t="s">
        <v>14</v>
      </c>
      <c r="F127">
        <v>18</v>
      </c>
      <c r="G127">
        <v>540</v>
      </c>
      <c r="H127">
        <v>9720</v>
      </c>
      <c r="I127">
        <v>6804</v>
      </c>
      <c r="J127">
        <v>2916</v>
      </c>
      <c r="K127">
        <v>0.42857142857142855</v>
      </c>
      <c r="L127">
        <v>2</v>
      </c>
      <c r="M127" t="s">
        <v>65</v>
      </c>
    </row>
    <row r="128" spans="1:13" x14ac:dyDescent="0.35">
      <c r="A128" s="1">
        <v>45328</v>
      </c>
      <c r="B128" t="s">
        <v>34</v>
      </c>
      <c r="C128" t="s">
        <v>20</v>
      </c>
      <c r="D128" t="s">
        <v>21</v>
      </c>
      <c r="E128" t="s">
        <v>39</v>
      </c>
      <c r="F128">
        <v>11</v>
      </c>
      <c r="G128">
        <v>165</v>
      </c>
      <c r="H128">
        <v>1815</v>
      </c>
      <c r="I128">
        <v>1270.5</v>
      </c>
      <c r="J128">
        <v>544.5</v>
      </c>
      <c r="K128">
        <v>0.42857142857142855</v>
      </c>
      <c r="L128">
        <v>2</v>
      </c>
      <c r="M128" t="s">
        <v>65</v>
      </c>
    </row>
    <row r="129" spans="1:13" x14ac:dyDescent="0.35">
      <c r="A129" s="1">
        <v>45328</v>
      </c>
      <c r="B129" t="s">
        <v>31</v>
      </c>
      <c r="C129" t="s">
        <v>24</v>
      </c>
      <c r="D129" t="s">
        <v>25</v>
      </c>
      <c r="E129" t="s">
        <v>40</v>
      </c>
      <c r="F129">
        <v>20</v>
      </c>
      <c r="G129">
        <v>125</v>
      </c>
      <c r="H129">
        <v>2500</v>
      </c>
      <c r="I129">
        <v>1750</v>
      </c>
      <c r="J129">
        <v>750</v>
      </c>
      <c r="K129">
        <v>0.42857142857142855</v>
      </c>
      <c r="L129">
        <v>2</v>
      </c>
      <c r="M129" t="s">
        <v>65</v>
      </c>
    </row>
    <row r="130" spans="1:13" x14ac:dyDescent="0.35">
      <c r="A130" s="1">
        <v>45328</v>
      </c>
      <c r="B130" t="s">
        <v>15</v>
      </c>
      <c r="C130" t="s">
        <v>16</v>
      </c>
      <c r="D130" t="s">
        <v>17</v>
      </c>
      <c r="E130" t="s">
        <v>18</v>
      </c>
      <c r="F130">
        <v>40</v>
      </c>
      <c r="G130">
        <v>20</v>
      </c>
      <c r="H130">
        <v>800</v>
      </c>
      <c r="I130">
        <v>560</v>
      </c>
      <c r="J130">
        <v>240</v>
      </c>
      <c r="K130">
        <v>0.42857142857142855</v>
      </c>
      <c r="L130">
        <v>2</v>
      </c>
      <c r="M130" t="s">
        <v>65</v>
      </c>
    </row>
    <row r="131" spans="1:13" x14ac:dyDescent="0.35">
      <c r="A131" s="1">
        <v>45329</v>
      </c>
      <c r="B131" t="s">
        <v>38</v>
      </c>
      <c r="C131" t="s">
        <v>12</v>
      </c>
      <c r="D131" t="s">
        <v>13</v>
      </c>
      <c r="E131" t="s">
        <v>43</v>
      </c>
      <c r="F131">
        <v>15</v>
      </c>
      <c r="G131">
        <v>1090</v>
      </c>
      <c r="H131">
        <v>16350</v>
      </c>
      <c r="I131">
        <v>11445</v>
      </c>
      <c r="J131">
        <v>4905</v>
      </c>
      <c r="K131">
        <v>0.42857142857142855</v>
      </c>
      <c r="L131">
        <v>2</v>
      </c>
      <c r="M131" t="s">
        <v>65</v>
      </c>
    </row>
    <row r="132" spans="1:13" x14ac:dyDescent="0.35">
      <c r="A132" s="1">
        <v>45329</v>
      </c>
      <c r="B132" t="s">
        <v>19</v>
      </c>
      <c r="C132" t="s">
        <v>20</v>
      </c>
      <c r="D132" t="s">
        <v>21</v>
      </c>
      <c r="E132" t="s">
        <v>22</v>
      </c>
      <c r="F132">
        <v>10</v>
      </c>
      <c r="G132">
        <v>390</v>
      </c>
      <c r="H132">
        <v>3900</v>
      </c>
      <c r="I132">
        <v>2730</v>
      </c>
      <c r="J132">
        <v>1170</v>
      </c>
      <c r="K132">
        <v>0.42857142857142855</v>
      </c>
      <c r="L132">
        <v>2</v>
      </c>
      <c r="M132" t="s">
        <v>65</v>
      </c>
    </row>
    <row r="133" spans="1:13" x14ac:dyDescent="0.35">
      <c r="A133" s="1">
        <v>45329</v>
      </c>
      <c r="B133" t="s">
        <v>23</v>
      </c>
      <c r="C133" t="s">
        <v>24</v>
      </c>
      <c r="D133" t="s">
        <v>25</v>
      </c>
      <c r="E133" t="s">
        <v>26</v>
      </c>
      <c r="F133">
        <v>24</v>
      </c>
      <c r="G133">
        <v>145</v>
      </c>
      <c r="H133">
        <v>3480</v>
      </c>
      <c r="I133">
        <v>2436</v>
      </c>
      <c r="J133">
        <v>1044</v>
      </c>
      <c r="K133">
        <v>0.42857142857142855</v>
      </c>
      <c r="L133">
        <v>2</v>
      </c>
      <c r="M133" t="s">
        <v>65</v>
      </c>
    </row>
    <row r="134" spans="1:13" x14ac:dyDescent="0.35">
      <c r="A134" s="1">
        <v>45330</v>
      </c>
      <c r="B134" t="s">
        <v>42</v>
      </c>
      <c r="C134" t="s">
        <v>12</v>
      </c>
      <c r="D134" t="s">
        <v>13</v>
      </c>
      <c r="E134" t="s">
        <v>44</v>
      </c>
      <c r="F134">
        <v>30</v>
      </c>
      <c r="G134">
        <v>270</v>
      </c>
      <c r="H134">
        <v>8100</v>
      </c>
      <c r="I134">
        <v>5670</v>
      </c>
      <c r="J134">
        <v>2430</v>
      </c>
      <c r="K134">
        <v>0.42857142857142855</v>
      </c>
      <c r="L134">
        <v>2</v>
      </c>
      <c r="M134" t="s">
        <v>65</v>
      </c>
    </row>
    <row r="135" spans="1:13" x14ac:dyDescent="0.35">
      <c r="A135" s="1">
        <v>45330</v>
      </c>
      <c r="B135" t="s">
        <v>29</v>
      </c>
      <c r="C135" t="s">
        <v>20</v>
      </c>
      <c r="D135" t="s">
        <v>21</v>
      </c>
      <c r="E135" t="s">
        <v>30</v>
      </c>
      <c r="F135">
        <v>17</v>
      </c>
      <c r="G135">
        <v>340</v>
      </c>
      <c r="H135">
        <v>5780</v>
      </c>
      <c r="I135">
        <v>4046</v>
      </c>
      <c r="J135">
        <v>1734</v>
      </c>
      <c r="K135">
        <v>0.42857142857142855</v>
      </c>
      <c r="L135">
        <v>2</v>
      </c>
      <c r="M135" t="s">
        <v>65</v>
      </c>
    </row>
    <row r="136" spans="1:13" x14ac:dyDescent="0.35">
      <c r="A136" s="1">
        <v>45330</v>
      </c>
      <c r="B136" t="s">
        <v>31</v>
      </c>
      <c r="C136" t="s">
        <v>24</v>
      </c>
      <c r="D136" t="s">
        <v>25</v>
      </c>
      <c r="E136" t="s">
        <v>32</v>
      </c>
      <c r="F136">
        <v>22</v>
      </c>
      <c r="G136">
        <v>165</v>
      </c>
      <c r="H136">
        <v>3630</v>
      </c>
      <c r="I136">
        <v>2541</v>
      </c>
      <c r="J136">
        <v>1089</v>
      </c>
      <c r="K136">
        <v>0.42857142857142855</v>
      </c>
      <c r="L136">
        <v>2</v>
      </c>
      <c r="M136" t="s">
        <v>65</v>
      </c>
    </row>
    <row r="137" spans="1:13" x14ac:dyDescent="0.35">
      <c r="A137" s="1">
        <v>45330</v>
      </c>
      <c r="B137" t="s">
        <v>15</v>
      </c>
      <c r="C137" t="s">
        <v>16</v>
      </c>
      <c r="D137" t="s">
        <v>17</v>
      </c>
      <c r="E137" t="s">
        <v>33</v>
      </c>
      <c r="F137">
        <v>64</v>
      </c>
      <c r="G137">
        <v>6</v>
      </c>
      <c r="H137">
        <v>384</v>
      </c>
      <c r="I137">
        <v>268.8</v>
      </c>
      <c r="J137">
        <v>115.2</v>
      </c>
      <c r="K137">
        <v>0.42857142857142855</v>
      </c>
      <c r="L137">
        <v>2</v>
      </c>
      <c r="M137" t="s">
        <v>65</v>
      </c>
    </row>
    <row r="138" spans="1:13" x14ac:dyDescent="0.35">
      <c r="A138" s="1">
        <v>45331</v>
      </c>
      <c r="B138" t="s">
        <v>11</v>
      </c>
      <c r="C138" t="s">
        <v>12</v>
      </c>
      <c r="D138" t="s">
        <v>13</v>
      </c>
      <c r="E138" t="s">
        <v>41</v>
      </c>
      <c r="F138">
        <v>20</v>
      </c>
      <c r="G138">
        <v>430</v>
      </c>
      <c r="H138">
        <v>8600</v>
      </c>
      <c r="I138">
        <v>6020</v>
      </c>
      <c r="J138">
        <v>2580</v>
      </c>
      <c r="K138">
        <v>0.42857142857142855</v>
      </c>
      <c r="L138">
        <v>2</v>
      </c>
      <c r="M138" t="s">
        <v>65</v>
      </c>
    </row>
    <row r="139" spans="1:13" x14ac:dyDescent="0.35">
      <c r="A139" s="1">
        <v>45331</v>
      </c>
      <c r="B139" t="s">
        <v>34</v>
      </c>
      <c r="C139" t="s">
        <v>20</v>
      </c>
      <c r="D139" t="s">
        <v>21</v>
      </c>
      <c r="E139" t="s">
        <v>35</v>
      </c>
      <c r="F139">
        <v>14</v>
      </c>
      <c r="G139">
        <v>195</v>
      </c>
      <c r="H139">
        <v>2730</v>
      </c>
      <c r="I139">
        <v>1911</v>
      </c>
      <c r="J139">
        <v>819</v>
      </c>
      <c r="K139">
        <v>0.42857142857142855</v>
      </c>
      <c r="L139">
        <v>2</v>
      </c>
      <c r="M139" t="s">
        <v>65</v>
      </c>
    </row>
    <row r="140" spans="1:13" x14ac:dyDescent="0.35">
      <c r="A140" s="1">
        <v>45331</v>
      </c>
      <c r="B140" t="s">
        <v>23</v>
      </c>
      <c r="C140" t="s">
        <v>24</v>
      </c>
      <c r="D140" t="s">
        <v>25</v>
      </c>
      <c r="E140" t="s">
        <v>36</v>
      </c>
      <c r="F140">
        <v>29</v>
      </c>
      <c r="G140">
        <v>105</v>
      </c>
      <c r="H140">
        <v>3045</v>
      </c>
      <c r="I140">
        <v>2131.5</v>
      </c>
      <c r="J140">
        <v>913.5</v>
      </c>
      <c r="K140">
        <v>0.42857142857142855</v>
      </c>
      <c r="L140">
        <v>2</v>
      </c>
      <c r="M140" t="s">
        <v>65</v>
      </c>
    </row>
    <row r="141" spans="1:13" x14ac:dyDescent="0.35">
      <c r="A141" s="1">
        <v>45331</v>
      </c>
      <c r="B141" t="s">
        <v>27</v>
      </c>
      <c r="C141" t="s">
        <v>16</v>
      </c>
      <c r="D141" t="s">
        <v>17</v>
      </c>
      <c r="E141" t="s">
        <v>37</v>
      </c>
      <c r="F141">
        <v>74</v>
      </c>
      <c r="G141">
        <v>10</v>
      </c>
      <c r="H141">
        <v>740</v>
      </c>
      <c r="I141">
        <v>518</v>
      </c>
      <c r="J141">
        <v>222</v>
      </c>
      <c r="K141">
        <v>0.42857142857142855</v>
      </c>
      <c r="L141">
        <v>2</v>
      </c>
      <c r="M141" t="s">
        <v>65</v>
      </c>
    </row>
    <row r="142" spans="1:13" x14ac:dyDescent="0.35">
      <c r="A142" s="1">
        <v>45332</v>
      </c>
      <c r="B142" t="s">
        <v>38</v>
      </c>
      <c r="C142" t="s">
        <v>12</v>
      </c>
      <c r="D142" t="s">
        <v>13</v>
      </c>
      <c r="E142" t="s">
        <v>14</v>
      </c>
      <c r="F142">
        <v>19</v>
      </c>
      <c r="G142">
        <v>550</v>
      </c>
      <c r="H142">
        <v>10450</v>
      </c>
      <c r="I142">
        <v>7315</v>
      </c>
      <c r="J142">
        <v>3135</v>
      </c>
      <c r="K142">
        <v>0.42857142857142855</v>
      </c>
      <c r="L142">
        <v>2</v>
      </c>
      <c r="M142" t="s">
        <v>65</v>
      </c>
    </row>
    <row r="143" spans="1:13" x14ac:dyDescent="0.35">
      <c r="A143" s="1">
        <v>45332</v>
      </c>
      <c r="B143" t="s">
        <v>19</v>
      </c>
      <c r="C143" t="s">
        <v>20</v>
      </c>
      <c r="D143" t="s">
        <v>21</v>
      </c>
      <c r="E143" t="s">
        <v>39</v>
      </c>
      <c r="F143">
        <v>12</v>
      </c>
      <c r="G143">
        <v>170</v>
      </c>
      <c r="H143">
        <v>2040</v>
      </c>
      <c r="I143">
        <v>1428</v>
      </c>
      <c r="J143">
        <v>612</v>
      </c>
      <c r="K143">
        <v>0.42857142857142855</v>
      </c>
      <c r="L143">
        <v>2</v>
      </c>
      <c r="M143" t="s">
        <v>65</v>
      </c>
    </row>
    <row r="144" spans="1:13" x14ac:dyDescent="0.35">
      <c r="A144" s="1">
        <v>45332</v>
      </c>
      <c r="B144" t="s">
        <v>31</v>
      </c>
      <c r="C144" t="s">
        <v>24</v>
      </c>
      <c r="D144" t="s">
        <v>25</v>
      </c>
      <c r="E144" t="s">
        <v>40</v>
      </c>
      <c r="F144">
        <v>21</v>
      </c>
      <c r="G144">
        <v>130</v>
      </c>
      <c r="H144">
        <v>2730</v>
      </c>
      <c r="I144">
        <v>1911</v>
      </c>
      <c r="J144">
        <v>819</v>
      </c>
      <c r="K144">
        <v>0.42857142857142855</v>
      </c>
      <c r="L144">
        <v>2</v>
      </c>
      <c r="M144" t="s">
        <v>65</v>
      </c>
    </row>
    <row r="145" spans="1:13" x14ac:dyDescent="0.35">
      <c r="A145" s="1">
        <v>45332</v>
      </c>
      <c r="B145" t="s">
        <v>15</v>
      </c>
      <c r="C145" t="s">
        <v>16</v>
      </c>
      <c r="D145" t="s">
        <v>17</v>
      </c>
      <c r="E145" t="s">
        <v>18</v>
      </c>
      <c r="F145">
        <v>42</v>
      </c>
      <c r="G145">
        <v>20</v>
      </c>
      <c r="H145">
        <v>840</v>
      </c>
      <c r="I145">
        <v>588</v>
      </c>
      <c r="J145">
        <v>252</v>
      </c>
      <c r="K145">
        <v>0.42857142857142855</v>
      </c>
      <c r="L145">
        <v>2</v>
      </c>
      <c r="M145" t="s">
        <v>65</v>
      </c>
    </row>
    <row r="146" spans="1:13" x14ac:dyDescent="0.35">
      <c r="A146" s="1">
        <v>45333</v>
      </c>
      <c r="B146" t="s">
        <v>42</v>
      </c>
      <c r="C146" t="s">
        <v>12</v>
      </c>
      <c r="D146" t="s">
        <v>13</v>
      </c>
      <c r="E146" t="s">
        <v>43</v>
      </c>
      <c r="F146">
        <v>16</v>
      </c>
      <c r="G146">
        <v>1110</v>
      </c>
      <c r="H146">
        <v>17760</v>
      </c>
      <c r="I146">
        <v>12432</v>
      </c>
      <c r="J146">
        <v>5328</v>
      </c>
      <c r="K146">
        <v>0.42857142857142855</v>
      </c>
      <c r="L146">
        <v>2</v>
      </c>
      <c r="M146" t="s">
        <v>65</v>
      </c>
    </row>
    <row r="147" spans="1:13" x14ac:dyDescent="0.35">
      <c r="A147" s="1">
        <v>45333</v>
      </c>
      <c r="B147" t="s">
        <v>29</v>
      </c>
      <c r="C147" t="s">
        <v>20</v>
      </c>
      <c r="D147" t="s">
        <v>21</v>
      </c>
      <c r="E147" t="s">
        <v>22</v>
      </c>
      <c r="F147">
        <v>11</v>
      </c>
      <c r="G147">
        <v>400</v>
      </c>
      <c r="H147">
        <v>4400</v>
      </c>
      <c r="I147">
        <v>3080</v>
      </c>
      <c r="J147">
        <v>1320</v>
      </c>
      <c r="K147">
        <v>0.42857142857142855</v>
      </c>
      <c r="L147">
        <v>2</v>
      </c>
      <c r="M147" t="s">
        <v>65</v>
      </c>
    </row>
    <row r="148" spans="1:13" x14ac:dyDescent="0.35">
      <c r="A148" s="1">
        <v>45333</v>
      </c>
      <c r="B148" t="s">
        <v>23</v>
      </c>
      <c r="C148" t="s">
        <v>24</v>
      </c>
      <c r="D148" t="s">
        <v>25</v>
      </c>
      <c r="E148" t="s">
        <v>26</v>
      </c>
      <c r="F148">
        <v>25</v>
      </c>
      <c r="G148">
        <v>150</v>
      </c>
      <c r="H148">
        <v>3750</v>
      </c>
      <c r="I148">
        <v>2625</v>
      </c>
      <c r="J148">
        <v>1125</v>
      </c>
      <c r="K148">
        <v>0.42857142857142855</v>
      </c>
      <c r="L148">
        <v>2</v>
      </c>
      <c r="M148" t="s">
        <v>65</v>
      </c>
    </row>
    <row r="149" spans="1:13" x14ac:dyDescent="0.35">
      <c r="A149" s="1">
        <v>45334</v>
      </c>
      <c r="B149" t="s">
        <v>11</v>
      </c>
      <c r="C149" t="s">
        <v>12</v>
      </c>
      <c r="D149" t="s">
        <v>13</v>
      </c>
      <c r="E149" t="s">
        <v>44</v>
      </c>
      <c r="F149">
        <v>31</v>
      </c>
      <c r="G149">
        <v>280</v>
      </c>
      <c r="H149">
        <v>8680</v>
      </c>
      <c r="I149">
        <v>6076</v>
      </c>
      <c r="J149">
        <v>2604</v>
      </c>
      <c r="K149">
        <v>0.42857142857142855</v>
      </c>
      <c r="L149">
        <v>2</v>
      </c>
      <c r="M149" t="s">
        <v>65</v>
      </c>
    </row>
    <row r="150" spans="1:13" x14ac:dyDescent="0.35">
      <c r="A150" s="1">
        <v>45334</v>
      </c>
      <c r="B150" t="s">
        <v>34</v>
      </c>
      <c r="C150" t="s">
        <v>20</v>
      </c>
      <c r="D150" t="s">
        <v>21</v>
      </c>
      <c r="E150" t="s">
        <v>30</v>
      </c>
      <c r="F150">
        <v>18</v>
      </c>
      <c r="G150">
        <v>350</v>
      </c>
      <c r="H150">
        <v>6300</v>
      </c>
      <c r="I150">
        <v>4410</v>
      </c>
      <c r="J150">
        <v>1890</v>
      </c>
      <c r="K150">
        <v>0.42857142857142855</v>
      </c>
      <c r="L150">
        <v>2</v>
      </c>
      <c r="M150" t="s">
        <v>65</v>
      </c>
    </row>
    <row r="151" spans="1:13" x14ac:dyDescent="0.35">
      <c r="A151" s="1">
        <v>45334</v>
      </c>
      <c r="B151" t="s">
        <v>31</v>
      </c>
      <c r="C151" t="s">
        <v>24</v>
      </c>
      <c r="D151" t="s">
        <v>25</v>
      </c>
      <c r="E151" t="s">
        <v>32</v>
      </c>
      <c r="F151">
        <v>23</v>
      </c>
      <c r="G151">
        <v>170</v>
      </c>
      <c r="H151">
        <v>3910</v>
      </c>
      <c r="I151">
        <v>2737</v>
      </c>
      <c r="J151">
        <v>1173</v>
      </c>
      <c r="K151">
        <v>0.42857142857142855</v>
      </c>
      <c r="L151">
        <v>2</v>
      </c>
      <c r="M151" t="s">
        <v>65</v>
      </c>
    </row>
    <row r="152" spans="1:13" x14ac:dyDescent="0.35">
      <c r="A152" s="1">
        <v>45335</v>
      </c>
      <c r="B152" t="s">
        <v>38</v>
      </c>
      <c r="C152" t="s">
        <v>12</v>
      </c>
      <c r="D152" t="s">
        <v>13</v>
      </c>
      <c r="E152" t="s">
        <v>41</v>
      </c>
      <c r="F152">
        <v>21</v>
      </c>
      <c r="G152">
        <v>440</v>
      </c>
      <c r="H152">
        <v>9240</v>
      </c>
      <c r="I152">
        <v>6468</v>
      </c>
      <c r="J152">
        <v>2772</v>
      </c>
      <c r="K152">
        <v>0.42857142857142855</v>
      </c>
      <c r="L152">
        <v>2</v>
      </c>
      <c r="M152" t="s">
        <v>65</v>
      </c>
    </row>
    <row r="153" spans="1:13" x14ac:dyDescent="0.35">
      <c r="A153" s="1">
        <v>45335</v>
      </c>
      <c r="B153" t="s">
        <v>19</v>
      </c>
      <c r="C153" t="s">
        <v>20</v>
      </c>
      <c r="D153" t="s">
        <v>21</v>
      </c>
      <c r="E153" t="s">
        <v>35</v>
      </c>
      <c r="F153">
        <v>15</v>
      </c>
      <c r="G153">
        <v>200</v>
      </c>
      <c r="H153">
        <v>3000</v>
      </c>
      <c r="I153">
        <v>2100</v>
      </c>
      <c r="J153">
        <v>900</v>
      </c>
      <c r="K153">
        <v>0.42857142857142855</v>
      </c>
      <c r="L153">
        <v>2</v>
      </c>
      <c r="M153" t="s">
        <v>65</v>
      </c>
    </row>
    <row r="154" spans="1:13" x14ac:dyDescent="0.35">
      <c r="A154" s="1">
        <v>45335</v>
      </c>
      <c r="B154" t="s">
        <v>23</v>
      </c>
      <c r="C154" t="s">
        <v>24</v>
      </c>
      <c r="D154" t="s">
        <v>25</v>
      </c>
      <c r="E154" t="s">
        <v>36</v>
      </c>
      <c r="F154">
        <v>30</v>
      </c>
      <c r="G154">
        <v>110</v>
      </c>
      <c r="H154">
        <v>3300</v>
      </c>
      <c r="I154">
        <v>2310</v>
      </c>
      <c r="J154">
        <v>990</v>
      </c>
      <c r="K154">
        <v>0.42857142857142855</v>
      </c>
      <c r="L154">
        <v>2</v>
      </c>
      <c r="M154" t="s">
        <v>65</v>
      </c>
    </row>
    <row r="155" spans="1:13" x14ac:dyDescent="0.35">
      <c r="A155" s="1">
        <v>45335</v>
      </c>
      <c r="B155" t="s">
        <v>27</v>
      </c>
      <c r="C155" t="s">
        <v>16</v>
      </c>
      <c r="D155" t="s">
        <v>17</v>
      </c>
      <c r="E155" t="s">
        <v>37</v>
      </c>
      <c r="F155">
        <v>76</v>
      </c>
      <c r="G155">
        <v>10</v>
      </c>
      <c r="H155">
        <v>760</v>
      </c>
      <c r="I155">
        <v>532</v>
      </c>
      <c r="J155">
        <v>228</v>
      </c>
      <c r="K155">
        <v>0.42857142857142855</v>
      </c>
      <c r="L155">
        <v>2</v>
      </c>
      <c r="M155" t="s">
        <v>65</v>
      </c>
    </row>
    <row r="156" spans="1:13" x14ac:dyDescent="0.35">
      <c r="A156" s="1">
        <v>45336</v>
      </c>
      <c r="B156" t="s">
        <v>42</v>
      </c>
      <c r="C156" t="s">
        <v>12</v>
      </c>
      <c r="D156" t="s">
        <v>13</v>
      </c>
      <c r="E156" t="s">
        <v>14</v>
      </c>
      <c r="F156">
        <v>20</v>
      </c>
      <c r="G156">
        <v>560</v>
      </c>
      <c r="H156">
        <v>11200</v>
      </c>
      <c r="I156">
        <v>7840</v>
      </c>
      <c r="J156">
        <v>3360</v>
      </c>
      <c r="K156">
        <v>0.42857142857142855</v>
      </c>
      <c r="L156">
        <v>2</v>
      </c>
      <c r="M156" t="s">
        <v>65</v>
      </c>
    </row>
    <row r="157" spans="1:13" x14ac:dyDescent="0.35">
      <c r="A157" s="1">
        <v>45336</v>
      </c>
      <c r="B157" t="s">
        <v>29</v>
      </c>
      <c r="C157" t="s">
        <v>20</v>
      </c>
      <c r="D157" t="s">
        <v>21</v>
      </c>
      <c r="E157" t="s">
        <v>39</v>
      </c>
      <c r="F157">
        <v>13</v>
      </c>
      <c r="G157">
        <v>175</v>
      </c>
      <c r="H157">
        <v>2275</v>
      </c>
      <c r="I157">
        <v>1592.5</v>
      </c>
      <c r="J157">
        <v>682.5</v>
      </c>
      <c r="K157">
        <v>0.42857142857142855</v>
      </c>
      <c r="L157">
        <v>2</v>
      </c>
      <c r="M157" t="s">
        <v>65</v>
      </c>
    </row>
    <row r="158" spans="1:13" x14ac:dyDescent="0.35">
      <c r="A158" s="1">
        <v>45336</v>
      </c>
      <c r="B158" t="s">
        <v>31</v>
      </c>
      <c r="C158" t="s">
        <v>24</v>
      </c>
      <c r="D158" t="s">
        <v>25</v>
      </c>
      <c r="E158" t="s">
        <v>40</v>
      </c>
      <c r="F158">
        <v>22</v>
      </c>
      <c r="G158">
        <v>135</v>
      </c>
      <c r="H158">
        <v>2970</v>
      </c>
      <c r="I158">
        <v>2079</v>
      </c>
      <c r="J158">
        <v>891</v>
      </c>
      <c r="K158">
        <v>0.42857142857142855</v>
      </c>
      <c r="L158">
        <v>2</v>
      </c>
      <c r="M158" t="s">
        <v>65</v>
      </c>
    </row>
    <row r="159" spans="1:13" x14ac:dyDescent="0.35">
      <c r="A159" s="1">
        <v>45337</v>
      </c>
      <c r="B159" t="s">
        <v>38</v>
      </c>
      <c r="C159" t="s">
        <v>12</v>
      </c>
      <c r="D159" t="s">
        <v>13</v>
      </c>
      <c r="E159" t="s">
        <v>43</v>
      </c>
      <c r="F159">
        <v>17</v>
      </c>
      <c r="G159">
        <v>1130</v>
      </c>
      <c r="H159">
        <v>19210</v>
      </c>
      <c r="I159">
        <v>13447</v>
      </c>
      <c r="J159">
        <v>5763</v>
      </c>
      <c r="K159">
        <v>0.42857142857142855</v>
      </c>
      <c r="L159">
        <v>2</v>
      </c>
      <c r="M159" t="s">
        <v>65</v>
      </c>
    </row>
    <row r="160" spans="1:13" x14ac:dyDescent="0.35">
      <c r="A160" s="1">
        <v>45337</v>
      </c>
      <c r="B160" t="s">
        <v>19</v>
      </c>
      <c r="C160" t="s">
        <v>20</v>
      </c>
      <c r="D160" t="s">
        <v>21</v>
      </c>
      <c r="E160" t="s">
        <v>22</v>
      </c>
      <c r="F160">
        <v>12</v>
      </c>
      <c r="G160">
        <v>410</v>
      </c>
      <c r="H160">
        <v>4920</v>
      </c>
      <c r="I160">
        <v>3444</v>
      </c>
      <c r="J160">
        <v>1476</v>
      </c>
      <c r="K160">
        <v>0.42857142857142855</v>
      </c>
      <c r="L160">
        <v>2</v>
      </c>
      <c r="M160" t="s">
        <v>65</v>
      </c>
    </row>
    <row r="161" spans="1:13" x14ac:dyDescent="0.35">
      <c r="A161" s="1">
        <v>45337</v>
      </c>
      <c r="B161" t="s">
        <v>23</v>
      </c>
      <c r="C161" t="s">
        <v>24</v>
      </c>
      <c r="D161" t="s">
        <v>25</v>
      </c>
      <c r="E161" t="s">
        <v>26</v>
      </c>
      <c r="F161">
        <v>26</v>
      </c>
      <c r="G161">
        <v>155</v>
      </c>
      <c r="H161">
        <v>4030</v>
      </c>
      <c r="I161">
        <v>2821</v>
      </c>
      <c r="J161">
        <v>1209</v>
      </c>
      <c r="K161">
        <v>0.42857142857142855</v>
      </c>
      <c r="L161">
        <v>2</v>
      </c>
      <c r="M161" t="s">
        <v>65</v>
      </c>
    </row>
    <row r="162" spans="1:13" x14ac:dyDescent="0.35">
      <c r="A162" s="1">
        <v>45337</v>
      </c>
      <c r="B162" t="s">
        <v>27</v>
      </c>
      <c r="C162" t="s">
        <v>16</v>
      </c>
      <c r="D162" t="s">
        <v>17</v>
      </c>
      <c r="E162" t="s">
        <v>28</v>
      </c>
      <c r="F162">
        <v>45</v>
      </c>
      <c r="G162">
        <v>14</v>
      </c>
      <c r="H162">
        <v>630</v>
      </c>
      <c r="I162">
        <v>441</v>
      </c>
      <c r="J162">
        <v>189</v>
      </c>
      <c r="K162">
        <v>0.42857142857142855</v>
      </c>
      <c r="L162">
        <v>2</v>
      </c>
      <c r="M162" t="s">
        <v>65</v>
      </c>
    </row>
    <row r="163" spans="1:13" x14ac:dyDescent="0.35">
      <c r="A163" s="1">
        <v>45338</v>
      </c>
      <c r="B163" t="s">
        <v>42</v>
      </c>
      <c r="C163" t="s">
        <v>12</v>
      </c>
      <c r="D163" t="s">
        <v>13</v>
      </c>
      <c r="E163" t="s">
        <v>44</v>
      </c>
      <c r="F163">
        <v>32</v>
      </c>
      <c r="G163">
        <v>290</v>
      </c>
      <c r="H163">
        <v>9280</v>
      </c>
      <c r="I163">
        <v>6496</v>
      </c>
      <c r="J163">
        <v>2784</v>
      </c>
      <c r="K163">
        <v>0.42857142857142855</v>
      </c>
      <c r="L163">
        <v>2</v>
      </c>
      <c r="M163" t="s">
        <v>65</v>
      </c>
    </row>
    <row r="164" spans="1:13" x14ac:dyDescent="0.35">
      <c r="A164" s="1">
        <v>45338</v>
      </c>
      <c r="B164" t="s">
        <v>29</v>
      </c>
      <c r="C164" t="s">
        <v>20</v>
      </c>
      <c r="D164" t="s">
        <v>21</v>
      </c>
      <c r="E164" t="s">
        <v>30</v>
      </c>
      <c r="F164">
        <v>19</v>
      </c>
      <c r="G164">
        <v>360</v>
      </c>
      <c r="H164">
        <v>6840</v>
      </c>
      <c r="I164">
        <v>4788</v>
      </c>
      <c r="J164">
        <v>2052</v>
      </c>
      <c r="K164">
        <v>0.42857142857142855</v>
      </c>
      <c r="L164">
        <v>2</v>
      </c>
      <c r="M164" t="s">
        <v>65</v>
      </c>
    </row>
    <row r="165" spans="1:13" x14ac:dyDescent="0.35">
      <c r="A165" s="1">
        <v>45338</v>
      </c>
      <c r="B165" t="s">
        <v>31</v>
      </c>
      <c r="C165" t="s">
        <v>24</v>
      </c>
      <c r="D165" t="s">
        <v>25</v>
      </c>
      <c r="E165" t="s">
        <v>32</v>
      </c>
      <c r="F165">
        <v>24</v>
      </c>
      <c r="G165">
        <v>175</v>
      </c>
      <c r="H165">
        <v>4200</v>
      </c>
      <c r="I165">
        <v>2940</v>
      </c>
      <c r="J165">
        <v>1260</v>
      </c>
      <c r="K165">
        <v>0.42857142857142855</v>
      </c>
      <c r="L165">
        <v>2</v>
      </c>
      <c r="M165" t="s">
        <v>65</v>
      </c>
    </row>
    <row r="166" spans="1:13" x14ac:dyDescent="0.35">
      <c r="A166" s="1">
        <v>45339</v>
      </c>
      <c r="B166" t="s">
        <v>11</v>
      </c>
      <c r="C166" t="s">
        <v>12</v>
      </c>
      <c r="D166" t="s">
        <v>13</v>
      </c>
      <c r="E166" t="s">
        <v>41</v>
      </c>
      <c r="F166">
        <v>22</v>
      </c>
      <c r="G166">
        <v>450</v>
      </c>
      <c r="H166">
        <v>9900</v>
      </c>
      <c r="I166">
        <v>6930</v>
      </c>
      <c r="J166">
        <v>2970</v>
      </c>
      <c r="K166">
        <v>0.42857142857142855</v>
      </c>
      <c r="L166">
        <v>2</v>
      </c>
      <c r="M166" t="s">
        <v>65</v>
      </c>
    </row>
    <row r="167" spans="1:13" x14ac:dyDescent="0.35">
      <c r="A167" s="1">
        <v>45339</v>
      </c>
      <c r="B167" t="s">
        <v>34</v>
      </c>
      <c r="C167" t="s">
        <v>20</v>
      </c>
      <c r="D167" t="s">
        <v>21</v>
      </c>
      <c r="E167" t="s">
        <v>35</v>
      </c>
      <c r="F167">
        <v>16</v>
      </c>
      <c r="G167">
        <v>210</v>
      </c>
      <c r="H167">
        <v>3360</v>
      </c>
      <c r="I167">
        <v>2352</v>
      </c>
      <c r="J167">
        <v>1008</v>
      </c>
      <c r="K167">
        <v>0.42857142857142855</v>
      </c>
      <c r="L167">
        <v>2</v>
      </c>
      <c r="M167" t="s">
        <v>65</v>
      </c>
    </row>
    <row r="168" spans="1:13" x14ac:dyDescent="0.35">
      <c r="A168" s="1">
        <v>45339</v>
      </c>
      <c r="B168" t="s">
        <v>23</v>
      </c>
      <c r="C168" t="s">
        <v>24</v>
      </c>
      <c r="D168" t="s">
        <v>25</v>
      </c>
      <c r="E168" t="s">
        <v>36</v>
      </c>
      <c r="F168">
        <v>31</v>
      </c>
      <c r="G168">
        <v>115</v>
      </c>
      <c r="H168">
        <v>3565</v>
      </c>
      <c r="I168">
        <v>2495.5</v>
      </c>
      <c r="J168">
        <v>1069.5</v>
      </c>
      <c r="K168">
        <v>0.42857142857142855</v>
      </c>
      <c r="L168">
        <v>2</v>
      </c>
      <c r="M168" t="s">
        <v>65</v>
      </c>
    </row>
    <row r="169" spans="1:13" x14ac:dyDescent="0.35">
      <c r="A169" s="1">
        <v>45339</v>
      </c>
      <c r="B169" t="s">
        <v>27</v>
      </c>
      <c r="C169" t="s">
        <v>16</v>
      </c>
      <c r="D169" t="s">
        <v>17</v>
      </c>
      <c r="E169" t="s">
        <v>37</v>
      </c>
      <c r="F169">
        <v>78</v>
      </c>
      <c r="G169">
        <v>10</v>
      </c>
      <c r="H169">
        <v>780</v>
      </c>
      <c r="I169">
        <v>546</v>
      </c>
      <c r="J169">
        <v>234</v>
      </c>
      <c r="K169">
        <v>0.42857142857142855</v>
      </c>
      <c r="L169">
        <v>2</v>
      </c>
      <c r="M169" t="s">
        <v>65</v>
      </c>
    </row>
    <row r="170" spans="1:13" x14ac:dyDescent="0.35">
      <c r="A170" s="1">
        <v>45340</v>
      </c>
      <c r="B170" t="s">
        <v>38</v>
      </c>
      <c r="C170" t="s">
        <v>12</v>
      </c>
      <c r="D170" t="s">
        <v>13</v>
      </c>
      <c r="E170" t="s">
        <v>14</v>
      </c>
      <c r="F170">
        <v>21</v>
      </c>
      <c r="G170">
        <v>570</v>
      </c>
      <c r="H170">
        <v>11970</v>
      </c>
      <c r="I170">
        <v>8379</v>
      </c>
      <c r="J170">
        <v>3591</v>
      </c>
      <c r="K170">
        <v>0.42857142857142855</v>
      </c>
      <c r="L170">
        <v>2</v>
      </c>
      <c r="M170" t="s">
        <v>65</v>
      </c>
    </row>
    <row r="171" spans="1:13" x14ac:dyDescent="0.35">
      <c r="A171" s="1">
        <v>45340</v>
      </c>
      <c r="B171" t="s">
        <v>19</v>
      </c>
      <c r="C171" t="s">
        <v>20</v>
      </c>
      <c r="D171" t="s">
        <v>21</v>
      </c>
      <c r="E171" t="s">
        <v>39</v>
      </c>
      <c r="F171">
        <v>14</v>
      </c>
      <c r="G171">
        <v>180</v>
      </c>
      <c r="H171">
        <v>2520</v>
      </c>
      <c r="I171">
        <v>1764</v>
      </c>
      <c r="J171">
        <v>756</v>
      </c>
      <c r="K171">
        <v>0.42857142857142855</v>
      </c>
      <c r="L171">
        <v>2</v>
      </c>
      <c r="M171" t="s">
        <v>65</v>
      </c>
    </row>
    <row r="172" spans="1:13" x14ac:dyDescent="0.35">
      <c r="A172" s="1">
        <v>45340</v>
      </c>
      <c r="B172" t="s">
        <v>31</v>
      </c>
      <c r="C172" t="s">
        <v>24</v>
      </c>
      <c r="D172" t="s">
        <v>25</v>
      </c>
      <c r="E172" t="s">
        <v>40</v>
      </c>
      <c r="F172">
        <v>23</v>
      </c>
      <c r="G172">
        <v>140</v>
      </c>
      <c r="H172">
        <v>3220</v>
      </c>
      <c r="I172">
        <v>2254</v>
      </c>
      <c r="J172">
        <v>966</v>
      </c>
      <c r="K172">
        <v>0.42857142857142855</v>
      </c>
      <c r="L172">
        <v>2</v>
      </c>
      <c r="M172" t="s">
        <v>65</v>
      </c>
    </row>
    <row r="173" spans="1:13" x14ac:dyDescent="0.35">
      <c r="A173" s="1">
        <v>45340</v>
      </c>
      <c r="B173" t="s">
        <v>15</v>
      </c>
      <c r="C173" t="s">
        <v>16</v>
      </c>
      <c r="D173" t="s">
        <v>17</v>
      </c>
      <c r="E173" t="s">
        <v>18</v>
      </c>
      <c r="F173">
        <v>46</v>
      </c>
      <c r="G173">
        <v>21</v>
      </c>
      <c r="H173">
        <v>966</v>
      </c>
      <c r="I173">
        <v>676.2</v>
      </c>
      <c r="J173">
        <v>289.8</v>
      </c>
      <c r="K173">
        <v>0.42857142857142855</v>
      </c>
      <c r="L173">
        <v>2</v>
      </c>
      <c r="M173" t="s">
        <v>65</v>
      </c>
    </row>
    <row r="174" spans="1:13" x14ac:dyDescent="0.35">
      <c r="A174" s="1">
        <v>45341</v>
      </c>
      <c r="B174" t="s">
        <v>42</v>
      </c>
      <c r="C174" t="s">
        <v>12</v>
      </c>
      <c r="D174" t="s">
        <v>13</v>
      </c>
      <c r="E174" t="s">
        <v>43</v>
      </c>
      <c r="F174">
        <v>18</v>
      </c>
      <c r="G174">
        <v>1150</v>
      </c>
      <c r="H174">
        <v>20700</v>
      </c>
      <c r="I174">
        <v>14490</v>
      </c>
      <c r="J174">
        <v>6210</v>
      </c>
      <c r="K174">
        <v>0.42857142857142855</v>
      </c>
      <c r="L174">
        <v>2</v>
      </c>
      <c r="M174" t="s">
        <v>65</v>
      </c>
    </row>
    <row r="175" spans="1:13" x14ac:dyDescent="0.35">
      <c r="A175" s="1">
        <v>45341</v>
      </c>
      <c r="B175" t="s">
        <v>29</v>
      </c>
      <c r="C175" t="s">
        <v>20</v>
      </c>
      <c r="D175" t="s">
        <v>21</v>
      </c>
      <c r="E175" t="s">
        <v>22</v>
      </c>
      <c r="F175">
        <v>13</v>
      </c>
      <c r="G175">
        <v>420</v>
      </c>
      <c r="H175">
        <v>5460</v>
      </c>
      <c r="I175">
        <v>3822</v>
      </c>
      <c r="J175">
        <v>1638</v>
      </c>
      <c r="K175">
        <v>0.42857142857142855</v>
      </c>
      <c r="L175">
        <v>2</v>
      </c>
      <c r="M175" t="s">
        <v>65</v>
      </c>
    </row>
    <row r="176" spans="1:13" x14ac:dyDescent="0.35">
      <c r="A176" s="1">
        <v>45341</v>
      </c>
      <c r="B176" t="s">
        <v>23</v>
      </c>
      <c r="C176" t="s">
        <v>24</v>
      </c>
      <c r="D176" t="s">
        <v>25</v>
      </c>
      <c r="E176" t="s">
        <v>26</v>
      </c>
      <c r="F176">
        <v>27</v>
      </c>
      <c r="G176">
        <v>160</v>
      </c>
      <c r="H176">
        <v>4320</v>
      </c>
      <c r="I176">
        <v>3024</v>
      </c>
      <c r="J176">
        <v>1296</v>
      </c>
      <c r="K176">
        <v>0.42857142857142855</v>
      </c>
      <c r="L176">
        <v>2</v>
      </c>
      <c r="M176" t="s">
        <v>65</v>
      </c>
    </row>
    <row r="177" spans="1:13" x14ac:dyDescent="0.35">
      <c r="A177" s="1">
        <v>45341</v>
      </c>
      <c r="B177" t="s">
        <v>27</v>
      </c>
      <c r="C177" t="s">
        <v>16</v>
      </c>
      <c r="D177" t="s">
        <v>17</v>
      </c>
      <c r="E177" t="s">
        <v>28</v>
      </c>
      <c r="F177">
        <v>46</v>
      </c>
      <c r="G177">
        <v>14</v>
      </c>
      <c r="H177">
        <v>644</v>
      </c>
      <c r="I177">
        <v>450.8</v>
      </c>
      <c r="J177">
        <v>193.2</v>
      </c>
      <c r="K177">
        <v>0.42857142857142855</v>
      </c>
      <c r="L177">
        <v>2</v>
      </c>
      <c r="M177" t="s">
        <v>65</v>
      </c>
    </row>
    <row r="178" spans="1:13" x14ac:dyDescent="0.35">
      <c r="A178" s="1">
        <v>45342</v>
      </c>
      <c r="B178" t="s">
        <v>11</v>
      </c>
      <c r="C178" t="s">
        <v>12</v>
      </c>
      <c r="D178" t="s">
        <v>13</v>
      </c>
      <c r="E178" t="s">
        <v>44</v>
      </c>
      <c r="F178">
        <v>33</v>
      </c>
      <c r="G178">
        <v>300</v>
      </c>
      <c r="H178">
        <v>9900</v>
      </c>
      <c r="I178">
        <v>6930</v>
      </c>
      <c r="J178">
        <v>2970</v>
      </c>
      <c r="K178">
        <v>0.42857142857142855</v>
      </c>
      <c r="L178">
        <v>2</v>
      </c>
      <c r="M178" t="s">
        <v>65</v>
      </c>
    </row>
    <row r="179" spans="1:13" x14ac:dyDescent="0.35">
      <c r="A179" s="1">
        <v>45342</v>
      </c>
      <c r="B179" t="s">
        <v>34</v>
      </c>
      <c r="C179" t="s">
        <v>20</v>
      </c>
      <c r="D179" t="s">
        <v>21</v>
      </c>
      <c r="E179" t="s">
        <v>30</v>
      </c>
      <c r="F179">
        <v>20</v>
      </c>
      <c r="G179">
        <v>370</v>
      </c>
      <c r="H179">
        <v>7400</v>
      </c>
      <c r="I179">
        <v>5180</v>
      </c>
      <c r="J179">
        <v>2220</v>
      </c>
      <c r="K179">
        <v>0.42857142857142855</v>
      </c>
      <c r="L179">
        <v>2</v>
      </c>
      <c r="M179" t="s">
        <v>65</v>
      </c>
    </row>
    <row r="180" spans="1:13" x14ac:dyDescent="0.35">
      <c r="A180" s="1">
        <v>45342</v>
      </c>
      <c r="B180" t="s">
        <v>31</v>
      </c>
      <c r="C180" t="s">
        <v>24</v>
      </c>
      <c r="D180" t="s">
        <v>25</v>
      </c>
      <c r="E180" t="s">
        <v>32</v>
      </c>
      <c r="F180">
        <v>25</v>
      </c>
      <c r="G180">
        <v>180</v>
      </c>
      <c r="H180">
        <v>4500</v>
      </c>
      <c r="I180">
        <v>3150</v>
      </c>
      <c r="J180">
        <v>1350</v>
      </c>
      <c r="K180">
        <v>0.42857142857142855</v>
      </c>
      <c r="L180">
        <v>2</v>
      </c>
      <c r="M180" t="s">
        <v>65</v>
      </c>
    </row>
    <row r="181" spans="1:13" x14ac:dyDescent="0.35">
      <c r="A181" s="1">
        <v>45342</v>
      </c>
      <c r="B181" t="s">
        <v>15</v>
      </c>
      <c r="C181" t="s">
        <v>16</v>
      </c>
      <c r="D181" t="s">
        <v>17</v>
      </c>
      <c r="E181" t="s">
        <v>33</v>
      </c>
      <c r="F181">
        <v>70</v>
      </c>
      <c r="G181">
        <v>7</v>
      </c>
      <c r="H181">
        <v>490</v>
      </c>
      <c r="I181">
        <v>343</v>
      </c>
      <c r="J181">
        <v>147</v>
      </c>
      <c r="K181">
        <v>0.42857142857142855</v>
      </c>
      <c r="L181">
        <v>2</v>
      </c>
      <c r="M181" t="s">
        <v>65</v>
      </c>
    </row>
    <row r="182" spans="1:13" x14ac:dyDescent="0.35">
      <c r="A182" s="1">
        <v>45343</v>
      </c>
      <c r="B182" t="s">
        <v>38</v>
      </c>
      <c r="C182" t="s">
        <v>12</v>
      </c>
      <c r="D182" t="s">
        <v>13</v>
      </c>
      <c r="E182" t="s">
        <v>41</v>
      </c>
      <c r="F182">
        <v>23</v>
      </c>
      <c r="G182">
        <v>460</v>
      </c>
      <c r="H182">
        <v>10580</v>
      </c>
      <c r="I182">
        <v>7406</v>
      </c>
      <c r="J182">
        <v>3174</v>
      </c>
      <c r="K182">
        <v>0.42857142857142855</v>
      </c>
      <c r="L182">
        <v>2</v>
      </c>
      <c r="M182" t="s">
        <v>65</v>
      </c>
    </row>
    <row r="183" spans="1:13" x14ac:dyDescent="0.35">
      <c r="A183" s="1">
        <v>45343</v>
      </c>
      <c r="B183" t="s">
        <v>19</v>
      </c>
      <c r="C183" t="s">
        <v>20</v>
      </c>
      <c r="D183" t="s">
        <v>21</v>
      </c>
      <c r="E183" t="s">
        <v>35</v>
      </c>
      <c r="F183">
        <v>17</v>
      </c>
      <c r="G183">
        <v>220</v>
      </c>
      <c r="H183">
        <v>3740</v>
      </c>
      <c r="I183">
        <v>2618</v>
      </c>
      <c r="J183">
        <v>1122</v>
      </c>
      <c r="K183">
        <v>0.42857142857142855</v>
      </c>
      <c r="L183">
        <v>2</v>
      </c>
      <c r="M183" t="s">
        <v>65</v>
      </c>
    </row>
    <row r="184" spans="1:13" x14ac:dyDescent="0.35">
      <c r="A184" s="1">
        <v>45343</v>
      </c>
      <c r="B184" t="s">
        <v>23</v>
      </c>
      <c r="C184" t="s">
        <v>24</v>
      </c>
      <c r="D184" t="s">
        <v>25</v>
      </c>
      <c r="E184" t="s">
        <v>36</v>
      </c>
      <c r="F184">
        <v>32</v>
      </c>
      <c r="G184">
        <v>120</v>
      </c>
      <c r="H184">
        <v>3840</v>
      </c>
      <c r="I184">
        <v>2688</v>
      </c>
      <c r="J184">
        <v>1152</v>
      </c>
      <c r="K184">
        <v>0.42857142857142855</v>
      </c>
      <c r="L184">
        <v>2</v>
      </c>
      <c r="M184" t="s">
        <v>65</v>
      </c>
    </row>
    <row r="185" spans="1:13" x14ac:dyDescent="0.35">
      <c r="A185" s="1">
        <v>45343</v>
      </c>
      <c r="B185" t="s">
        <v>27</v>
      </c>
      <c r="C185" t="s">
        <v>16</v>
      </c>
      <c r="D185" t="s">
        <v>17</v>
      </c>
      <c r="E185" t="s">
        <v>37</v>
      </c>
      <c r="F185">
        <v>80</v>
      </c>
      <c r="G185">
        <v>10</v>
      </c>
      <c r="H185">
        <v>800</v>
      </c>
      <c r="I185">
        <v>560</v>
      </c>
      <c r="J185">
        <v>240</v>
      </c>
      <c r="K185">
        <v>0.42857142857142855</v>
      </c>
      <c r="L185">
        <v>2</v>
      </c>
      <c r="M185" t="s">
        <v>65</v>
      </c>
    </row>
    <row r="186" spans="1:13" x14ac:dyDescent="0.35">
      <c r="A186" s="1">
        <v>45344</v>
      </c>
      <c r="B186" t="s">
        <v>42</v>
      </c>
      <c r="C186" t="s">
        <v>12</v>
      </c>
      <c r="D186" t="s">
        <v>13</v>
      </c>
      <c r="E186" t="s">
        <v>14</v>
      </c>
      <c r="F186">
        <v>22</v>
      </c>
      <c r="G186">
        <v>580</v>
      </c>
      <c r="H186">
        <v>12760</v>
      </c>
      <c r="I186">
        <v>8932</v>
      </c>
      <c r="J186">
        <v>3828</v>
      </c>
      <c r="K186">
        <v>0.42857142857142855</v>
      </c>
      <c r="L186">
        <v>2</v>
      </c>
      <c r="M186" t="s">
        <v>65</v>
      </c>
    </row>
    <row r="187" spans="1:13" x14ac:dyDescent="0.35">
      <c r="A187" s="1">
        <v>45344</v>
      </c>
      <c r="B187" t="s">
        <v>29</v>
      </c>
      <c r="C187" t="s">
        <v>20</v>
      </c>
      <c r="D187" t="s">
        <v>21</v>
      </c>
      <c r="E187" t="s">
        <v>39</v>
      </c>
      <c r="F187">
        <v>15</v>
      </c>
      <c r="G187">
        <v>185</v>
      </c>
      <c r="H187">
        <v>2775</v>
      </c>
      <c r="I187">
        <v>1942.5</v>
      </c>
      <c r="J187">
        <v>832.5</v>
      </c>
      <c r="K187">
        <v>0.42857142857142855</v>
      </c>
      <c r="L187">
        <v>2</v>
      </c>
      <c r="M187" t="s">
        <v>65</v>
      </c>
    </row>
    <row r="188" spans="1:13" x14ac:dyDescent="0.35">
      <c r="A188" s="1">
        <v>45344</v>
      </c>
      <c r="B188" t="s">
        <v>31</v>
      </c>
      <c r="C188" t="s">
        <v>24</v>
      </c>
      <c r="D188" t="s">
        <v>25</v>
      </c>
      <c r="E188" t="s">
        <v>40</v>
      </c>
      <c r="F188">
        <v>24</v>
      </c>
      <c r="G188">
        <v>145</v>
      </c>
      <c r="H188">
        <v>3480</v>
      </c>
      <c r="I188">
        <v>2436</v>
      </c>
      <c r="J188">
        <v>1044</v>
      </c>
      <c r="K188">
        <v>0.42857142857142855</v>
      </c>
      <c r="L188">
        <v>2</v>
      </c>
      <c r="M188" t="s">
        <v>65</v>
      </c>
    </row>
    <row r="189" spans="1:13" x14ac:dyDescent="0.35">
      <c r="A189" s="1">
        <v>45344</v>
      </c>
      <c r="B189" t="s">
        <v>15</v>
      </c>
      <c r="C189" t="s">
        <v>16</v>
      </c>
      <c r="D189" t="s">
        <v>17</v>
      </c>
      <c r="E189" t="s">
        <v>18</v>
      </c>
      <c r="F189">
        <v>48</v>
      </c>
      <c r="G189">
        <v>22</v>
      </c>
      <c r="H189">
        <v>1056</v>
      </c>
      <c r="I189">
        <v>739.2</v>
      </c>
      <c r="J189">
        <v>316.8</v>
      </c>
      <c r="K189">
        <v>0.42857142857142855</v>
      </c>
      <c r="L189">
        <v>2</v>
      </c>
      <c r="M189" t="s">
        <v>65</v>
      </c>
    </row>
    <row r="190" spans="1:13" x14ac:dyDescent="0.35">
      <c r="A190" s="1">
        <v>45345</v>
      </c>
      <c r="B190" t="s">
        <v>11</v>
      </c>
      <c r="C190" t="s">
        <v>12</v>
      </c>
      <c r="D190" t="s">
        <v>13</v>
      </c>
      <c r="E190" t="s">
        <v>43</v>
      </c>
      <c r="F190">
        <v>19</v>
      </c>
      <c r="G190">
        <v>1170</v>
      </c>
      <c r="H190">
        <v>22230</v>
      </c>
      <c r="I190">
        <v>15561</v>
      </c>
      <c r="J190">
        <v>6669</v>
      </c>
      <c r="K190">
        <v>0.42857142857142855</v>
      </c>
      <c r="L190">
        <v>2</v>
      </c>
      <c r="M190" t="s">
        <v>65</v>
      </c>
    </row>
    <row r="191" spans="1:13" x14ac:dyDescent="0.35">
      <c r="A191" s="1">
        <v>45345</v>
      </c>
      <c r="B191" t="s">
        <v>34</v>
      </c>
      <c r="C191" t="s">
        <v>20</v>
      </c>
      <c r="D191" t="s">
        <v>21</v>
      </c>
      <c r="E191" t="s">
        <v>22</v>
      </c>
      <c r="F191">
        <v>14</v>
      </c>
      <c r="G191">
        <v>430</v>
      </c>
      <c r="H191">
        <v>6020</v>
      </c>
      <c r="I191">
        <v>4214</v>
      </c>
      <c r="J191">
        <v>1806</v>
      </c>
      <c r="K191">
        <v>0.42857142857142855</v>
      </c>
      <c r="L191">
        <v>2</v>
      </c>
      <c r="M191" t="s">
        <v>65</v>
      </c>
    </row>
    <row r="192" spans="1:13" x14ac:dyDescent="0.35">
      <c r="A192" s="1">
        <v>45345</v>
      </c>
      <c r="B192" t="s">
        <v>23</v>
      </c>
      <c r="C192" t="s">
        <v>24</v>
      </c>
      <c r="D192" t="s">
        <v>25</v>
      </c>
      <c r="E192" t="s">
        <v>26</v>
      </c>
      <c r="F192">
        <v>28</v>
      </c>
      <c r="G192">
        <v>165</v>
      </c>
      <c r="H192">
        <v>4620</v>
      </c>
      <c r="I192">
        <v>3234</v>
      </c>
      <c r="J192">
        <v>1386</v>
      </c>
      <c r="K192">
        <v>0.42857142857142855</v>
      </c>
      <c r="L192">
        <v>2</v>
      </c>
      <c r="M192" t="s">
        <v>65</v>
      </c>
    </row>
    <row r="193" spans="1:13" x14ac:dyDescent="0.35">
      <c r="A193" s="1">
        <v>45345</v>
      </c>
      <c r="B193" t="s">
        <v>27</v>
      </c>
      <c r="C193" t="s">
        <v>16</v>
      </c>
      <c r="D193" t="s">
        <v>17</v>
      </c>
      <c r="E193" t="s">
        <v>28</v>
      </c>
      <c r="F193">
        <v>47</v>
      </c>
      <c r="G193">
        <v>15</v>
      </c>
      <c r="H193">
        <v>705</v>
      </c>
      <c r="I193">
        <v>493.5</v>
      </c>
      <c r="J193">
        <v>211.5</v>
      </c>
      <c r="K193">
        <v>0.42857142857142855</v>
      </c>
      <c r="L193">
        <v>2</v>
      </c>
      <c r="M193" t="s">
        <v>65</v>
      </c>
    </row>
    <row r="194" spans="1:13" x14ac:dyDescent="0.35">
      <c r="A194" s="1">
        <v>45346</v>
      </c>
      <c r="B194" t="s">
        <v>38</v>
      </c>
      <c r="C194" t="s">
        <v>12</v>
      </c>
      <c r="D194" t="s">
        <v>13</v>
      </c>
      <c r="E194" t="s">
        <v>44</v>
      </c>
      <c r="F194">
        <v>34</v>
      </c>
      <c r="G194">
        <v>310</v>
      </c>
      <c r="H194">
        <v>10540</v>
      </c>
      <c r="I194">
        <v>7378</v>
      </c>
      <c r="J194">
        <v>3162</v>
      </c>
      <c r="K194">
        <v>0.42857142857142855</v>
      </c>
      <c r="L194">
        <v>2</v>
      </c>
      <c r="M194" t="s">
        <v>65</v>
      </c>
    </row>
    <row r="195" spans="1:13" x14ac:dyDescent="0.35">
      <c r="A195" s="1">
        <v>45346</v>
      </c>
      <c r="B195" t="s">
        <v>19</v>
      </c>
      <c r="C195" t="s">
        <v>20</v>
      </c>
      <c r="D195" t="s">
        <v>21</v>
      </c>
      <c r="E195" t="s">
        <v>30</v>
      </c>
      <c r="F195">
        <v>21</v>
      </c>
      <c r="G195">
        <v>380</v>
      </c>
      <c r="H195">
        <v>7980</v>
      </c>
      <c r="I195">
        <v>5586</v>
      </c>
      <c r="J195">
        <v>2394</v>
      </c>
      <c r="K195">
        <v>0.42857142857142855</v>
      </c>
      <c r="L195">
        <v>2</v>
      </c>
      <c r="M195" t="s">
        <v>65</v>
      </c>
    </row>
    <row r="196" spans="1:13" x14ac:dyDescent="0.35">
      <c r="A196" s="1">
        <v>45346</v>
      </c>
      <c r="B196" t="s">
        <v>31</v>
      </c>
      <c r="C196" t="s">
        <v>24</v>
      </c>
      <c r="D196" t="s">
        <v>25</v>
      </c>
      <c r="E196" t="s">
        <v>32</v>
      </c>
      <c r="F196">
        <v>26</v>
      </c>
      <c r="G196">
        <v>185</v>
      </c>
      <c r="H196">
        <v>4810</v>
      </c>
      <c r="I196">
        <v>3367</v>
      </c>
      <c r="J196">
        <v>1443</v>
      </c>
      <c r="K196">
        <v>0.42857142857142855</v>
      </c>
      <c r="L196">
        <v>2</v>
      </c>
      <c r="M196" t="s">
        <v>65</v>
      </c>
    </row>
    <row r="197" spans="1:13" x14ac:dyDescent="0.35">
      <c r="A197" s="1">
        <v>45346</v>
      </c>
      <c r="B197" t="s">
        <v>15</v>
      </c>
      <c r="C197" t="s">
        <v>16</v>
      </c>
      <c r="D197" t="s">
        <v>17</v>
      </c>
      <c r="E197" t="s">
        <v>33</v>
      </c>
      <c r="F197">
        <v>72</v>
      </c>
      <c r="G197">
        <v>7</v>
      </c>
      <c r="H197">
        <v>504</v>
      </c>
      <c r="I197">
        <v>352.8</v>
      </c>
      <c r="J197">
        <v>151.19999999999999</v>
      </c>
      <c r="K197">
        <v>0.42857142857142855</v>
      </c>
      <c r="L197">
        <v>2</v>
      </c>
      <c r="M197" t="s">
        <v>65</v>
      </c>
    </row>
    <row r="198" spans="1:13" x14ac:dyDescent="0.35">
      <c r="A198" s="1">
        <v>45347</v>
      </c>
      <c r="B198" t="s">
        <v>42</v>
      </c>
      <c r="C198" t="s">
        <v>12</v>
      </c>
      <c r="D198" t="s">
        <v>13</v>
      </c>
      <c r="E198" t="s">
        <v>41</v>
      </c>
      <c r="F198">
        <v>24</v>
      </c>
      <c r="G198">
        <v>470</v>
      </c>
      <c r="H198">
        <v>11280</v>
      </c>
      <c r="I198">
        <v>7896</v>
      </c>
      <c r="J198">
        <v>3384</v>
      </c>
      <c r="K198">
        <v>0.42857142857142855</v>
      </c>
      <c r="L198">
        <v>2</v>
      </c>
      <c r="M198" t="s">
        <v>65</v>
      </c>
    </row>
    <row r="199" spans="1:13" x14ac:dyDescent="0.35">
      <c r="A199" s="1">
        <v>45347</v>
      </c>
      <c r="B199" t="s">
        <v>29</v>
      </c>
      <c r="C199" t="s">
        <v>20</v>
      </c>
      <c r="D199" t="s">
        <v>21</v>
      </c>
      <c r="E199" t="s">
        <v>35</v>
      </c>
      <c r="F199">
        <v>18</v>
      </c>
      <c r="G199">
        <v>230</v>
      </c>
      <c r="H199">
        <v>4140</v>
      </c>
      <c r="I199">
        <v>2898</v>
      </c>
      <c r="J199">
        <v>1242</v>
      </c>
      <c r="K199">
        <v>0.42857142857142855</v>
      </c>
      <c r="L199">
        <v>2</v>
      </c>
      <c r="M199" t="s">
        <v>65</v>
      </c>
    </row>
    <row r="200" spans="1:13" x14ac:dyDescent="0.35">
      <c r="A200" s="1">
        <v>45347</v>
      </c>
      <c r="B200" t="s">
        <v>23</v>
      </c>
      <c r="C200" t="s">
        <v>24</v>
      </c>
      <c r="D200" t="s">
        <v>25</v>
      </c>
      <c r="E200" t="s">
        <v>36</v>
      </c>
      <c r="F200">
        <v>33</v>
      </c>
      <c r="G200">
        <v>125</v>
      </c>
      <c r="H200">
        <v>4125</v>
      </c>
      <c r="I200">
        <v>2887.5</v>
      </c>
      <c r="J200">
        <v>1237.5</v>
      </c>
      <c r="K200">
        <v>0.42857142857142855</v>
      </c>
      <c r="L200">
        <v>2</v>
      </c>
      <c r="M200" t="s">
        <v>65</v>
      </c>
    </row>
    <row r="201" spans="1:13" x14ac:dyDescent="0.35">
      <c r="A201" s="1">
        <v>45348</v>
      </c>
      <c r="B201" t="s">
        <v>11</v>
      </c>
      <c r="C201" t="s">
        <v>12</v>
      </c>
      <c r="D201" t="s">
        <v>13</v>
      </c>
      <c r="E201" t="s">
        <v>14</v>
      </c>
      <c r="F201">
        <v>23</v>
      </c>
      <c r="G201">
        <v>590</v>
      </c>
      <c r="H201">
        <v>13570</v>
      </c>
      <c r="I201">
        <v>9499</v>
      </c>
      <c r="J201">
        <v>4071</v>
      </c>
      <c r="K201">
        <v>0.42857142857142855</v>
      </c>
      <c r="L201">
        <v>2</v>
      </c>
      <c r="M201" t="s">
        <v>65</v>
      </c>
    </row>
    <row r="202" spans="1:13" x14ac:dyDescent="0.35">
      <c r="A202" s="1">
        <v>45348</v>
      </c>
      <c r="B202" t="s">
        <v>34</v>
      </c>
      <c r="C202" t="s">
        <v>20</v>
      </c>
      <c r="D202" t="s">
        <v>21</v>
      </c>
      <c r="E202" t="s">
        <v>39</v>
      </c>
      <c r="F202">
        <v>16</v>
      </c>
      <c r="G202">
        <v>190</v>
      </c>
      <c r="H202">
        <v>3040</v>
      </c>
      <c r="I202">
        <v>2128</v>
      </c>
      <c r="J202">
        <v>912</v>
      </c>
      <c r="K202">
        <v>0.42857142857142855</v>
      </c>
      <c r="L202">
        <v>2</v>
      </c>
      <c r="M202" t="s">
        <v>65</v>
      </c>
    </row>
    <row r="203" spans="1:13" x14ac:dyDescent="0.35">
      <c r="A203" s="1">
        <v>45348</v>
      </c>
      <c r="B203" t="s">
        <v>31</v>
      </c>
      <c r="C203" t="s">
        <v>24</v>
      </c>
      <c r="D203" t="s">
        <v>25</v>
      </c>
      <c r="E203" t="s">
        <v>40</v>
      </c>
      <c r="F203">
        <v>25</v>
      </c>
      <c r="G203">
        <v>150</v>
      </c>
      <c r="H203">
        <v>3750</v>
      </c>
      <c r="I203">
        <v>2625</v>
      </c>
      <c r="J203">
        <v>1125</v>
      </c>
      <c r="K203">
        <v>0.42857142857142855</v>
      </c>
      <c r="L203">
        <v>2</v>
      </c>
      <c r="M203" t="s">
        <v>65</v>
      </c>
    </row>
    <row r="204" spans="1:13" x14ac:dyDescent="0.35">
      <c r="A204" s="1">
        <v>45348</v>
      </c>
      <c r="B204" t="s">
        <v>15</v>
      </c>
      <c r="C204" t="s">
        <v>16</v>
      </c>
      <c r="D204" t="s">
        <v>17</v>
      </c>
      <c r="E204" t="s">
        <v>18</v>
      </c>
      <c r="F204">
        <v>50</v>
      </c>
      <c r="G204">
        <v>22</v>
      </c>
      <c r="H204">
        <v>1100</v>
      </c>
      <c r="I204">
        <v>770</v>
      </c>
      <c r="J204">
        <v>330</v>
      </c>
      <c r="K204">
        <v>0.42857142857142855</v>
      </c>
      <c r="L204">
        <v>2</v>
      </c>
      <c r="M204" t="s">
        <v>65</v>
      </c>
    </row>
    <row r="205" spans="1:13" x14ac:dyDescent="0.35">
      <c r="A205" s="1">
        <v>45349</v>
      </c>
      <c r="B205" t="s">
        <v>38</v>
      </c>
      <c r="C205" t="s">
        <v>12</v>
      </c>
      <c r="D205" t="s">
        <v>13</v>
      </c>
      <c r="E205" t="s">
        <v>43</v>
      </c>
      <c r="F205">
        <v>20</v>
      </c>
      <c r="G205">
        <v>1190</v>
      </c>
      <c r="H205">
        <v>23800</v>
      </c>
      <c r="I205">
        <v>16660</v>
      </c>
      <c r="J205">
        <v>7140</v>
      </c>
      <c r="K205">
        <v>0.42857142857142855</v>
      </c>
      <c r="L205">
        <v>2</v>
      </c>
      <c r="M205" t="s">
        <v>65</v>
      </c>
    </row>
    <row r="206" spans="1:13" x14ac:dyDescent="0.35">
      <c r="A206" s="1">
        <v>45349</v>
      </c>
      <c r="B206" t="s">
        <v>19</v>
      </c>
      <c r="C206" t="s">
        <v>20</v>
      </c>
      <c r="D206" t="s">
        <v>21</v>
      </c>
      <c r="E206" t="s">
        <v>22</v>
      </c>
      <c r="F206">
        <v>15</v>
      </c>
      <c r="G206">
        <v>440</v>
      </c>
      <c r="H206">
        <v>6600</v>
      </c>
      <c r="I206">
        <v>4620</v>
      </c>
      <c r="J206">
        <v>1980</v>
      </c>
      <c r="K206">
        <v>0.42857142857142855</v>
      </c>
      <c r="L206">
        <v>2</v>
      </c>
      <c r="M206" t="s">
        <v>65</v>
      </c>
    </row>
    <row r="207" spans="1:13" x14ac:dyDescent="0.35">
      <c r="A207" s="1">
        <v>45349</v>
      </c>
      <c r="B207" t="s">
        <v>23</v>
      </c>
      <c r="C207" t="s">
        <v>24</v>
      </c>
      <c r="D207" t="s">
        <v>25</v>
      </c>
      <c r="E207" t="s">
        <v>26</v>
      </c>
      <c r="F207">
        <v>29</v>
      </c>
      <c r="G207">
        <v>170</v>
      </c>
      <c r="H207">
        <v>4930</v>
      </c>
      <c r="I207">
        <v>3451</v>
      </c>
      <c r="J207">
        <v>1479</v>
      </c>
      <c r="K207">
        <v>0.42857142857142855</v>
      </c>
      <c r="L207">
        <v>2</v>
      </c>
      <c r="M207" t="s">
        <v>65</v>
      </c>
    </row>
    <row r="208" spans="1:13" x14ac:dyDescent="0.35">
      <c r="A208" s="1">
        <v>45349</v>
      </c>
      <c r="B208" t="s">
        <v>27</v>
      </c>
      <c r="C208" t="s">
        <v>16</v>
      </c>
      <c r="D208" t="s">
        <v>17</v>
      </c>
      <c r="E208" t="s">
        <v>28</v>
      </c>
      <c r="F208">
        <v>48</v>
      </c>
      <c r="G208">
        <v>15</v>
      </c>
      <c r="H208">
        <v>720</v>
      </c>
      <c r="I208">
        <v>504</v>
      </c>
      <c r="J208">
        <v>216</v>
      </c>
      <c r="K208">
        <v>0.42857142857142855</v>
      </c>
      <c r="L208">
        <v>2</v>
      </c>
      <c r="M208" t="s">
        <v>65</v>
      </c>
    </row>
    <row r="209" spans="1:13" x14ac:dyDescent="0.35">
      <c r="A209" s="1">
        <v>45350</v>
      </c>
      <c r="B209" t="s">
        <v>42</v>
      </c>
      <c r="C209" t="s">
        <v>12</v>
      </c>
      <c r="D209" t="s">
        <v>13</v>
      </c>
      <c r="E209" t="s">
        <v>44</v>
      </c>
      <c r="F209">
        <v>35</v>
      </c>
      <c r="G209">
        <v>320</v>
      </c>
      <c r="H209">
        <v>11200</v>
      </c>
      <c r="I209">
        <v>7840</v>
      </c>
      <c r="J209">
        <v>3360</v>
      </c>
      <c r="K209">
        <v>0.42857142857142855</v>
      </c>
      <c r="L209">
        <v>2</v>
      </c>
      <c r="M209" t="s">
        <v>65</v>
      </c>
    </row>
    <row r="210" spans="1:13" x14ac:dyDescent="0.35">
      <c r="A210" s="1">
        <v>45350</v>
      </c>
      <c r="B210" t="s">
        <v>29</v>
      </c>
      <c r="C210" t="s">
        <v>20</v>
      </c>
      <c r="D210" t="s">
        <v>21</v>
      </c>
      <c r="E210" t="s">
        <v>30</v>
      </c>
      <c r="F210">
        <v>22</v>
      </c>
      <c r="G210">
        <v>390</v>
      </c>
      <c r="H210">
        <v>8580</v>
      </c>
      <c r="I210">
        <v>6006</v>
      </c>
      <c r="J210">
        <v>2574</v>
      </c>
      <c r="K210">
        <v>0.42857142857142855</v>
      </c>
      <c r="L210">
        <v>2</v>
      </c>
      <c r="M210" t="s">
        <v>65</v>
      </c>
    </row>
    <row r="211" spans="1:13" x14ac:dyDescent="0.35">
      <c r="A211" s="1">
        <v>45350</v>
      </c>
      <c r="B211" t="s">
        <v>31</v>
      </c>
      <c r="C211" t="s">
        <v>24</v>
      </c>
      <c r="D211" t="s">
        <v>25</v>
      </c>
      <c r="E211" t="s">
        <v>32</v>
      </c>
      <c r="F211">
        <v>27</v>
      </c>
      <c r="G211">
        <v>190</v>
      </c>
      <c r="H211">
        <v>5130</v>
      </c>
      <c r="I211">
        <v>3591</v>
      </c>
      <c r="J211">
        <v>1539</v>
      </c>
      <c r="K211">
        <v>0.42857142857142855</v>
      </c>
      <c r="L211">
        <v>2</v>
      </c>
      <c r="M211" t="s">
        <v>65</v>
      </c>
    </row>
    <row r="212" spans="1:13" x14ac:dyDescent="0.35">
      <c r="A212" s="1">
        <v>45350</v>
      </c>
      <c r="B212" t="s">
        <v>15</v>
      </c>
      <c r="C212" t="s">
        <v>16</v>
      </c>
      <c r="D212" t="s">
        <v>17</v>
      </c>
      <c r="E212" t="s">
        <v>33</v>
      </c>
      <c r="F212">
        <v>74</v>
      </c>
      <c r="G212">
        <v>7</v>
      </c>
      <c r="H212">
        <v>518</v>
      </c>
      <c r="I212">
        <v>362.6</v>
      </c>
      <c r="J212">
        <v>155.4</v>
      </c>
      <c r="K212">
        <v>0.42857142857142855</v>
      </c>
      <c r="L212">
        <v>2</v>
      </c>
      <c r="M212" t="s">
        <v>65</v>
      </c>
    </row>
    <row r="213" spans="1:13" x14ac:dyDescent="0.35">
      <c r="A213" s="1">
        <v>45351</v>
      </c>
      <c r="B213" t="s">
        <v>11</v>
      </c>
      <c r="C213" t="s">
        <v>12</v>
      </c>
      <c r="D213" t="s">
        <v>13</v>
      </c>
      <c r="E213" t="s">
        <v>41</v>
      </c>
      <c r="F213">
        <v>25</v>
      </c>
      <c r="G213">
        <v>480</v>
      </c>
      <c r="H213">
        <v>12000</v>
      </c>
      <c r="I213">
        <v>8400</v>
      </c>
      <c r="J213">
        <v>3600</v>
      </c>
      <c r="K213">
        <v>0.42857142857142855</v>
      </c>
      <c r="L213">
        <v>2</v>
      </c>
      <c r="M213" t="s">
        <v>65</v>
      </c>
    </row>
    <row r="214" spans="1:13" x14ac:dyDescent="0.35">
      <c r="A214" s="1">
        <v>45351</v>
      </c>
      <c r="B214" t="s">
        <v>34</v>
      </c>
      <c r="C214" t="s">
        <v>20</v>
      </c>
      <c r="D214" t="s">
        <v>21</v>
      </c>
      <c r="E214" t="s">
        <v>35</v>
      </c>
      <c r="F214">
        <v>19</v>
      </c>
      <c r="G214">
        <v>240</v>
      </c>
      <c r="H214">
        <v>4560</v>
      </c>
      <c r="I214">
        <v>3192</v>
      </c>
      <c r="J214">
        <v>1368</v>
      </c>
      <c r="K214">
        <v>0.42857142857142855</v>
      </c>
      <c r="L214">
        <v>2</v>
      </c>
      <c r="M214" t="s">
        <v>65</v>
      </c>
    </row>
    <row r="215" spans="1:13" x14ac:dyDescent="0.35">
      <c r="A215" s="1">
        <v>45351</v>
      </c>
      <c r="B215" t="s">
        <v>23</v>
      </c>
      <c r="C215" t="s">
        <v>24</v>
      </c>
      <c r="D215" t="s">
        <v>25</v>
      </c>
      <c r="E215" t="s">
        <v>36</v>
      </c>
      <c r="F215">
        <v>34</v>
      </c>
      <c r="G215">
        <v>130</v>
      </c>
      <c r="H215">
        <v>4420</v>
      </c>
      <c r="I215">
        <v>3094</v>
      </c>
      <c r="J215">
        <v>1326</v>
      </c>
      <c r="K215">
        <v>0.42857142857142855</v>
      </c>
      <c r="L215">
        <v>2</v>
      </c>
      <c r="M215" t="s">
        <v>65</v>
      </c>
    </row>
    <row r="216" spans="1:13" x14ac:dyDescent="0.35">
      <c r="A216" s="1">
        <v>45352</v>
      </c>
      <c r="B216" t="s">
        <v>38</v>
      </c>
      <c r="C216" t="s">
        <v>12</v>
      </c>
      <c r="D216" t="s">
        <v>13</v>
      </c>
      <c r="E216" t="s">
        <v>14</v>
      </c>
      <c r="F216">
        <v>24</v>
      </c>
      <c r="G216">
        <v>600</v>
      </c>
      <c r="H216">
        <v>14400</v>
      </c>
      <c r="I216">
        <v>10080</v>
      </c>
      <c r="J216">
        <v>4320</v>
      </c>
      <c r="K216">
        <v>0.42857142857142855</v>
      </c>
      <c r="L216">
        <v>3</v>
      </c>
      <c r="M216" t="s">
        <v>66</v>
      </c>
    </row>
    <row r="217" spans="1:13" x14ac:dyDescent="0.35">
      <c r="A217" s="1">
        <v>45352</v>
      </c>
      <c r="B217" t="s">
        <v>19</v>
      </c>
      <c r="C217" t="s">
        <v>20</v>
      </c>
      <c r="D217" t="s">
        <v>21</v>
      </c>
      <c r="E217" t="s">
        <v>39</v>
      </c>
      <c r="F217">
        <v>17</v>
      </c>
      <c r="G217">
        <v>195</v>
      </c>
      <c r="H217">
        <v>3315</v>
      </c>
      <c r="I217">
        <v>2320.5</v>
      </c>
      <c r="J217">
        <v>994.5</v>
      </c>
      <c r="K217">
        <v>0.42857142857142855</v>
      </c>
      <c r="L217">
        <v>3</v>
      </c>
      <c r="M217" t="s">
        <v>66</v>
      </c>
    </row>
    <row r="218" spans="1:13" x14ac:dyDescent="0.35">
      <c r="A218" s="1">
        <v>45352</v>
      </c>
      <c r="B218" t="s">
        <v>31</v>
      </c>
      <c r="C218" t="s">
        <v>24</v>
      </c>
      <c r="D218" t="s">
        <v>25</v>
      </c>
      <c r="E218" t="s">
        <v>40</v>
      </c>
      <c r="F218">
        <v>26</v>
      </c>
      <c r="G218">
        <v>155</v>
      </c>
      <c r="H218">
        <v>4030</v>
      </c>
      <c r="I218">
        <v>2821</v>
      </c>
      <c r="J218">
        <v>1209</v>
      </c>
      <c r="K218">
        <v>0.42857142857142855</v>
      </c>
      <c r="L218">
        <v>3</v>
      </c>
      <c r="M218" t="s">
        <v>66</v>
      </c>
    </row>
    <row r="219" spans="1:13" x14ac:dyDescent="0.35">
      <c r="A219" s="1">
        <v>45352</v>
      </c>
      <c r="B219" t="s">
        <v>15</v>
      </c>
      <c r="C219" t="s">
        <v>16</v>
      </c>
      <c r="D219" t="s">
        <v>17</v>
      </c>
      <c r="E219" t="s">
        <v>18</v>
      </c>
      <c r="F219">
        <v>52</v>
      </c>
      <c r="G219">
        <v>23</v>
      </c>
      <c r="H219">
        <v>1196</v>
      </c>
      <c r="I219">
        <v>837.2</v>
      </c>
      <c r="J219">
        <v>358.8</v>
      </c>
      <c r="K219">
        <v>0.42857142857142855</v>
      </c>
      <c r="L219">
        <v>3</v>
      </c>
      <c r="M219" t="s">
        <v>66</v>
      </c>
    </row>
    <row r="220" spans="1:13" x14ac:dyDescent="0.35">
      <c r="A220" s="1">
        <v>45353</v>
      </c>
      <c r="B220" t="s">
        <v>42</v>
      </c>
      <c r="C220" t="s">
        <v>12</v>
      </c>
      <c r="D220" t="s">
        <v>13</v>
      </c>
      <c r="E220" t="s">
        <v>43</v>
      </c>
      <c r="F220">
        <v>21</v>
      </c>
      <c r="G220">
        <v>1210</v>
      </c>
      <c r="H220">
        <v>25410</v>
      </c>
      <c r="I220">
        <v>17787</v>
      </c>
      <c r="J220">
        <v>7623</v>
      </c>
      <c r="K220">
        <v>0.42857142857142855</v>
      </c>
      <c r="L220">
        <v>3</v>
      </c>
      <c r="M220" t="s">
        <v>66</v>
      </c>
    </row>
    <row r="221" spans="1:13" x14ac:dyDescent="0.35">
      <c r="A221" s="1">
        <v>45353</v>
      </c>
      <c r="B221" t="s">
        <v>29</v>
      </c>
      <c r="C221" t="s">
        <v>20</v>
      </c>
      <c r="D221" t="s">
        <v>21</v>
      </c>
      <c r="E221" t="s">
        <v>22</v>
      </c>
      <c r="F221">
        <v>16</v>
      </c>
      <c r="G221">
        <v>450</v>
      </c>
      <c r="H221">
        <v>7200</v>
      </c>
      <c r="I221">
        <v>5040</v>
      </c>
      <c r="J221">
        <v>2160</v>
      </c>
      <c r="K221">
        <v>0.42857142857142855</v>
      </c>
      <c r="L221">
        <v>3</v>
      </c>
      <c r="M221" t="s">
        <v>66</v>
      </c>
    </row>
    <row r="222" spans="1:13" x14ac:dyDescent="0.35">
      <c r="A222" s="1">
        <v>45353</v>
      </c>
      <c r="B222" t="s">
        <v>23</v>
      </c>
      <c r="C222" t="s">
        <v>24</v>
      </c>
      <c r="D222" t="s">
        <v>25</v>
      </c>
      <c r="E222" t="s">
        <v>26</v>
      </c>
      <c r="F222">
        <v>30</v>
      </c>
      <c r="G222">
        <v>175</v>
      </c>
      <c r="H222">
        <v>5250</v>
      </c>
      <c r="I222">
        <v>3675</v>
      </c>
      <c r="J222">
        <v>1575</v>
      </c>
      <c r="K222">
        <v>0.42857142857142855</v>
      </c>
      <c r="L222">
        <v>3</v>
      </c>
      <c r="M222" t="s">
        <v>66</v>
      </c>
    </row>
    <row r="223" spans="1:13" x14ac:dyDescent="0.35">
      <c r="A223" s="1">
        <v>45353</v>
      </c>
      <c r="B223" t="s">
        <v>27</v>
      </c>
      <c r="C223" t="s">
        <v>16</v>
      </c>
      <c r="D223" t="s">
        <v>17</v>
      </c>
      <c r="E223" t="s">
        <v>28</v>
      </c>
      <c r="F223">
        <v>49</v>
      </c>
      <c r="G223">
        <v>15</v>
      </c>
      <c r="H223">
        <v>735</v>
      </c>
      <c r="I223">
        <v>514.5</v>
      </c>
      <c r="J223">
        <v>220.5</v>
      </c>
      <c r="K223">
        <v>0.42857142857142855</v>
      </c>
      <c r="L223">
        <v>3</v>
      </c>
      <c r="M223" t="s">
        <v>66</v>
      </c>
    </row>
    <row r="224" spans="1:13" x14ac:dyDescent="0.35">
      <c r="A224" s="1">
        <v>45354</v>
      </c>
      <c r="B224" t="s">
        <v>11</v>
      </c>
      <c r="C224" t="s">
        <v>12</v>
      </c>
      <c r="D224" t="s">
        <v>13</v>
      </c>
      <c r="E224" t="s">
        <v>44</v>
      </c>
      <c r="F224">
        <v>36</v>
      </c>
      <c r="G224">
        <v>330</v>
      </c>
      <c r="H224">
        <v>11880</v>
      </c>
      <c r="I224">
        <v>8316</v>
      </c>
      <c r="J224">
        <v>3564</v>
      </c>
      <c r="K224">
        <v>0.42857142857142855</v>
      </c>
      <c r="L224">
        <v>3</v>
      </c>
      <c r="M224" t="s">
        <v>66</v>
      </c>
    </row>
    <row r="225" spans="1:13" x14ac:dyDescent="0.35">
      <c r="A225" s="1">
        <v>45354</v>
      </c>
      <c r="B225" t="s">
        <v>34</v>
      </c>
      <c r="C225" t="s">
        <v>20</v>
      </c>
      <c r="D225" t="s">
        <v>21</v>
      </c>
      <c r="E225" t="s">
        <v>30</v>
      </c>
      <c r="F225">
        <v>23</v>
      </c>
      <c r="G225">
        <v>400</v>
      </c>
      <c r="H225">
        <v>9200</v>
      </c>
      <c r="I225">
        <v>6440</v>
      </c>
      <c r="J225">
        <v>2760</v>
      </c>
      <c r="K225">
        <v>0.42857142857142855</v>
      </c>
      <c r="L225">
        <v>3</v>
      </c>
      <c r="M225" t="s">
        <v>66</v>
      </c>
    </row>
    <row r="226" spans="1:13" x14ac:dyDescent="0.35">
      <c r="A226" s="1">
        <v>45354</v>
      </c>
      <c r="B226" t="s">
        <v>31</v>
      </c>
      <c r="C226" t="s">
        <v>24</v>
      </c>
      <c r="D226" t="s">
        <v>25</v>
      </c>
      <c r="E226" t="s">
        <v>32</v>
      </c>
      <c r="F226">
        <v>28</v>
      </c>
      <c r="G226">
        <v>195</v>
      </c>
      <c r="H226">
        <v>5460</v>
      </c>
      <c r="I226">
        <v>3822</v>
      </c>
      <c r="J226">
        <v>1638</v>
      </c>
      <c r="K226">
        <v>0.42857142857142855</v>
      </c>
      <c r="L226">
        <v>3</v>
      </c>
      <c r="M226" t="s">
        <v>66</v>
      </c>
    </row>
    <row r="227" spans="1:13" x14ac:dyDescent="0.35">
      <c r="A227" s="1">
        <v>45355</v>
      </c>
      <c r="B227" t="s">
        <v>38</v>
      </c>
      <c r="C227" t="s">
        <v>12</v>
      </c>
      <c r="D227" t="s">
        <v>13</v>
      </c>
      <c r="E227" t="s">
        <v>41</v>
      </c>
      <c r="F227">
        <v>26</v>
      </c>
      <c r="G227">
        <v>490</v>
      </c>
      <c r="H227">
        <v>12740</v>
      </c>
      <c r="I227">
        <v>8918</v>
      </c>
      <c r="J227">
        <v>3822</v>
      </c>
      <c r="K227">
        <v>0.42857142857142855</v>
      </c>
      <c r="L227">
        <v>3</v>
      </c>
      <c r="M227" t="s">
        <v>66</v>
      </c>
    </row>
    <row r="228" spans="1:13" x14ac:dyDescent="0.35">
      <c r="A228" s="1">
        <v>45355</v>
      </c>
      <c r="B228" t="s">
        <v>19</v>
      </c>
      <c r="C228" t="s">
        <v>20</v>
      </c>
      <c r="D228" t="s">
        <v>21</v>
      </c>
      <c r="E228" t="s">
        <v>35</v>
      </c>
      <c r="F228">
        <v>20</v>
      </c>
      <c r="G228">
        <v>250</v>
      </c>
      <c r="H228">
        <v>5000</v>
      </c>
      <c r="I228">
        <v>3500</v>
      </c>
      <c r="J228">
        <v>1500</v>
      </c>
      <c r="K228">
        <v>0.42857142857142855</v>
      </c>
      <c r="L228">
        <v>3</v>
      </c>
      <c r="M228" t="s">
        <v>66</v>
      </c>
    </row>
    <row r="229" spans="1:13" x14ac:dyDescent="0.35">
      <c r="A229" s="1">
        <v>45355</v>
      </c>
      <c r="B229" t="s">
        <v>23</v>
      </c>
      <c r="C229" t="s">
        <v>24</v>
      </c>
      <c r="D229" t="s">
        <v>25</v>
      </c>
      <c r="E229" t="s">
        <v>36</v>
      </c>
      <c r="F229">
        <v>35</v>
      </c>
      <c r="G229">
        <v>135</v>
      </c>
      <c r="H229">
        <v>4725</v>
      </c>
      <c r="I229">
        <v>3307.5</v>
      </c>
      <c r="J229">
        <v>1417.5</v>
      </c>
      <c r="K229">
        <v>0.42857142857142855</v>
      </c>
      <c r="L229">
        <v>3</v>
      </c>
      <c r="M229" t="s">
        <v>66</v>
      </c>
    </row>
    <row r="230" spans="1:13" x14ac:dyDescent="0.35">
      <c r="A230" s="1">
        <v>45355</v>
      </c>
      <c r="B230" t="s">
        <v>27</v>
      </c>
      <c r="C230" t="s">
        <v>16</v>
      </c>
      <c r="D230" t="s">
        <v>17</v>
      </c>
      <c r="E230" t="s">
        <v>37</v>
      </c>
      <c r="F230">
        <v>86</v>
      </c>
      <c r="G230">
        <v>11</v>
      </c>
      <c r="H230">
        <v>946</v>
      </c>
      <c r="I230">
        <v>662.2</v>
      </c>
      <c r="J230">
        <v>283.8</v>
      </c>
      <c r="K230">
        <v>0.42857142857142855</v>
      </c>
      <c r="L230">
        <v>3</v>
      </c>
      <c r="M230" t="s">
        <v>66</v>
      </c>
    </row>
    <row r="231" spans="1:13" x14ac:dyDescent="0.35">
      <c r="A231" s="1">
        <v>45356</v>
      </c>
      <c r="B231" t="s">
        <v>42</v>
      </c>
      <c r="C231" t="s">
        <v>12</v>
      </c>
      <c r="D231" t="s">
        <v>13</v>
      </c>
      <c r="E231" t="s">
        <v>14</v>
      </c>
      <c r="F231">
        <v>25</v>
      </c>
      <c r="G231">
        <v>610</v>
      </c>
      <c r="H231">
        <v>15250</v>
      </c>
      <c r="I231">
        <v>10675</v>
      </c>
      <c r="J231">
        <v>4575</v>
      </c>
      <c r="K231">
        <v>0.42857142857142855</v>
      </c>
      <c r="L231">
        <v>3</v>
      </c>
      <c r="M231" t="s">
        <v>66</v>
      </c>
    </row>
    <row r="232" spans="1:13" x14ac:dyDescent="0.35">
      <c r="A232" s="1">
        <v>45356</v>
      </c>
      <c r="B232" t="s">
        <v>29</v>
      </c>
      <c r="C232" t="s">
        <v>20</v>
      </c>
      <c r="D232" t="s">
        <v>21</v>
      </c>
      <c r="E232" t="s">
        <v>39</v>
      </c>
      <c r="F232">
        <v>18</v>
      </c>
      <c r="G232">
        <v>200</v>
      </c>
      <c r="H232">
        <v>3600</v>
      </c>
      <c r="I232">
        <v>2520</v>
      </c>
      <c r="J232">
        <v>1080</v>
      </c>
      <c r="K232">
        <v>0.42857142857142855</v>
      </c>
      <c r="L232">
        <v>3</v>
      </c>
      <c r="M232" t="s">
        <v>66</v>
      </c>
    </row>
    <row r="233" spans="1:13" x14ac:dyDescent="0.35">
      <c r="A233" s="1">
        <v>45356</v>
      </c>
      <c r="B233" t="s">
        <v>31</v>
      </c>
      <c r="C233" t="s">
        <v>24</v>
      </c>
      <c r="D233" t="s">
        <v>25</v>
      </c>
      <c r="E233" t="s">
        <v>40</v>
      </c>
      <c r="F233">
        <v>27</v>
      </c>
      <c r="G233">
        <v>160</v>
      </c>
      <c r="H233">
        <v>4320</v>
      </c>
      <c r="I233">
        <v>3024</v>
      </c>
      <c r="J233">
        <v>1296</v>
      </c>
      <c r="K233">
        <v>0.42857142857142855</v>
      </c>
      <c r="L233">
        <v>3</v>
      </c>
      <c r="M233" t="s">
        <v>66</v>
      </c>
    </row>
    <row r="234" spans="1:13" x14ac:dyDescent="0.35">
      <c r="A234" s="1">
        <v>45292</v>
      </c>
      <c r="B234" t="s">
        <v>34</v>
      </c>
      <c r="C234" t="s">
        <v>20</v>
      </c>
      <c r="D234" t="s">
        <v>21</v>
      </c>
      <c r="E234" t="s">
        <v>39</v>
      </c>
      <c r="F234">
        <v>8</v>
      </c>
      <c r="G234">
        <v>120</v>
      </c>
      <c r="H234">
        <v>960</v>
      </c>
      <c r="I234">
        <v>700</v>
      </c>
      <c r="J234">
        <v>260</v>
      </c>
      <c r="K234">
        <v>0.37142857142857144</v>
      </c>
      <c r="L234">
        <v>1</v>
      </c>
      <c r="M234" t="s">
        <v>64</v>
      </c>
    </row>
    <row r="235" spans="1:13" x14ac:dyDescent="0.35">
      <c r="A235" s="1">
        <v>45292</v>
      </c>
      <c r="B235" t="s">
        <v>31</v>
      </c>
      <c r="C235" t="s">
        <v>24</v>
      </c>
      <c r="D235" t="s">
        <v>25</v>
      </c>
      <c r="E235" t="s">
        <v>40</v>
      </c>
      <c r="F235">
        <v>15</v>
      </c>
      <c r="G235">
        <v>80</v>
      </c>
      <c r="H235">
        <v>1200</v>
      </c>
      <c r="I235">
        <v>780</v>
      </c>
      <c r="J235">
        <v>420</v>
      </c>
      <c r="K235">
        <v>0.53846153846153844</v>
      </c>
      <c r="L235">
        <v>1</v>
      </c>
      <c r="M235" t="s">
        <v>64</v>
      </c>
    </row>
    <row r="236" spans="1:13" x14ac:dyDescent="0.35">
      <c r="A236" s="1">
        <v>45293</v>
      </c>
      <c r="B236" t="s">
        <v>38</v>
      </c>
      <c r="C236" t="s">
        <v>12</v>
      </c>
      <c r="D236" t="s">
        <v>13</v>
      </c>
      <c r="E236" t="s">
        <v>43</v>
      </c>
      <c r="F236">
        <v>10</v>
      </c>
      <c r="G236">
        <v>900</v>
      </c>
      <c r="H236">
        <v>9000</v>
      </c>
      <c r="I236">
        <v>6750</v>
      </c>
      <c r="J236">
        <v>2250</v>
      </c>
      <c r="K236">
        <v>0.33333333333333331</v>
      </c>
      <c r="L236">
        <v>1</v>
      </c>
      <c r="M236" t="s">
        <v>64</v>
      </c>
    </row>
    <row r="237" spans="1:13" x14ac:dyDescent="0.35">
      <c r="A237" s="1">
        <v>45294</v>
      </c>
      <c r="B237" t="s">
        <v>42</v>
      </c>
      <c r="C237" t="s">
        <v>12</v>
      </c>
      <c r="D237" t="s">
        <v>13</v>
      </c>
      <c r="E237" t="s">
        <v>44</v>
      </c>
      <c r="F237">
        <v>25</v>
      </c>
      <c r="G237">
        <v>200</v>
      </c>
      <c r="H237">
        <v>5000</v>
      </c>
      <c r="I237">
        <v>3600</v>
      </c>
      <c r="J237">
        <v>1400</v>
      </c>
      <c r="K237">
        <v>0.3888888888888889</v>
      </c>
      <c r="L237">
        <v>1</v>
      </c>
      <c r="M237" t="s">
        <v>64</v>
      </c>
    </row>
    <row r="238" spans="1:13" x14ac:dyDescent="0.35">
      <c r="A238" s="1">
        <v>45295</v>
      </c>
      <c r="B238" t="s">
        <v>11</v>
      </c>
      <c r="C238" t="s">
        <v>12</v>
      </c>
      <c r="D238" t="s">
        <v>13</v>
      </c>
      <c r="E238" t="s">
        <v>41</v>
      </c>
      <c r="F238">
        <v>15</v>
      </c>
      <c r="G238">
        <v>350</v>
      </c>
      <c r="H238">
        <v>5250</v>
      </c>
      <c r="I238">
        <v>3780</v>
      </c>
      <c r="J238">
        <v>1470</v>
      </c>
      <c r="K238">
        <v>0.3888888888888889</v>
      </c>
      <c r="L238">
        <v>1</v>
      </c>
      <c r="M238" t="s">
        <v>64</v>
      </c>
    </row>
    <row r="239" spans="1:13" x14ac:dyDescent="0.35">
      <c r="A239" s="1">
        <v>45297</v>
      </c>
      <c r="B239" t="s">
        <v>42</v>
      </c>
      <c r="C239" t="s">
        <v>12</v>
      </c>
      <c r="D239" t="s">
        <v>13</v>
      </c>
      <c r="E239" t="s">
        <v>43</v>
      </c>
      <c r="F239">
        <v>9</v>
      </c>
      <c r="G239">
        <v>920</v>
      </c>
      <c r="H239">
        <v>8280</v>
      </c>
      <c r="I239">
        <v>5800</v>
      </c>
      <c r="J239">
        <v>2480</v>
      </c>
      <c r="K239">
        <v>0.42758620689655175</v>
      </c>
      <c r="L239">
        <v>1</v>
      </c>
      <c r="M239" t="s">
        <v>64</v>
      </c>
    </row>
    <row r="240" spans="1:13" x14ac:dyDescent="0.35">
      <c r="A240" s="1">
        <v>45298</v>
      </c>
      <c r="B240" t="s">
        <v>11</v>
      </c>
      <c r="C240" t="s">
        <v>12</v>
      </c>
      <c r="D240" t="s">
        <v>13</v>
      </c>
      <c r="E240" t="s">
        <v>44</v>
      </c>
      <c r="F240">
        <v>20</v>
      </c>
      <c r="G240">
        <v>210</v>
      </c>
      <c r="H240">
        <v>4200</v>
      </c>
      <c r="I240">
        <v>3024</v>
      </c>
      <c r="J240">
        <v>1176</v>
      </c>
      <c r="K240">
        <v>0.3888888888888889</v>
      </c>
      <c r="L240">
        <v>1</v>
      </c>
      <c r="M240" t="s">
        <v>64</v>
      </c>
    </row>
    <row r="241" spans="1:13" x14ac:dyDescent="0.35">
      <c r="A241" s="1">
        <v>45299</v>
      </c>
      <c r="B241" t="s">
        <v>27</v>
      </c>
      <c r="C241" t="s">
        <v>16</v>
      </c>
      <c r="D241" t="s">
        <v>17</v>
      </c>
      <c r="E241" t="s">
        <v>37</v>
      </c>
      <c r="F241">
        <v>58</v>
      </c>
      <c r="G241">
        <v>9</v>
      </c>
      <c r="H241">
        <v>522</v>
      </c>
      <c r="I241">
        <v>365.4</v>
      </c>
      <c r="J241">
        <v>156.6</v>
      </c>
      <c r="K241">
        <v>0.4285714285714286</v>
      </c>
      <c r="L241">
        <v>1</v>
      </c>
      <c r="M241" t="s">
        <v>64</v>
      </c>
    </row>
    <row r="242" spans="1:13" x14ac:dyDescent="0.35">
      <c r="A242" s="1">
        <v>45303</v>
      </c>
      <c r="B242" t="s">
        <v>27</v>
      </c>
      <c r="C242" t="s">
        <v>16</v>
      </c>
      <c r="D242" t="s">
        <v>17</v>
      </c>
      <c r="E242" t="s">
        <v>37</v>
      </c>
      <c r="F242">
        <v>62</v>
      </c>
      <c r="G242">
        <v>8</v>
      </c>
      <c r="H242">
        <v>496</v>
      </c>
      <c r="I242">
        <v>347.2</v>
      </c>
      <c r="J242">
        <v>148.80000000000001</v>
      </c>
      <c r="K242">
        <v>0.4285714285714286</v>
      </c>
      <c r="L242">
        <v>1</v>
      </c>
      <c r="M242" t="s">
        <v>64</v>
      </c>
    </row>
    <row r="243" spans="1:13" x14ac:dyDescent="0.35">
      <c r="A243" s="1">
        <v>45304</v>
      </c>
      <c r="B243" t="s">
        <v>15</v>
      </c>
      <c r="C243" t="s">
        <v>16</v>
      </c>
      <c r="D243" t="s">
        <v>17</v>
      </c>
      <c r="E243" t="s">
        <v>18</v>
      </c>
      <c r="F243">
        <v>31</v>
      </c>
      <c r="G243">
        <v>16</v>
      </c>
      <c r="H243">
        <v>496</v>
      </c>
      <c r="I243">
        <v>347.2</v>
      </c>
      <c r="J243">
        <v>148.80000000000001</v>
      </c>
      <c r="K243">
        <v>0.4285714285714286</v>
      </c>
      <c r="L243">
        <v>1</v>
      </c>
      <c r="M243" t="s">
        <v>64</v>
      </c>
    </row>
    <row r="244" spans="1:13" x14ac:dyDescent="0.35">
      <c r="A244" s="1">
        <v>45305</v>
      </c>
      <c r="B244" t="s">
        <v>27</v>
      </c>
      <c r="C244" t="s">
        <v>16</v>
      </c>
      <c r="D244" t="s">
        <v>17</v>
      </c>
      <c r="E244" t="s">
        <v>28</v>
      </c>
      <c r="F244">
        <v>37</v>
      </c>
      <c r="G244">
        <v>11</v>
      </c>
      <c r="H244">
        <v>407</v>
      </c>
      <c r="I244">
        <v>284.89999999999998</v>
      </c>
      <c r="J244">
        <v>122.1</v>
      </c>
      <c r="K244">
        <v>0.4285714285714286</v>
      </c>
      <c r="L244">
        <v>1</v>
      </c>
      <c r="M244" t="s">
        <v>64</v>
      </c>
    </row>
    <row r="245" spans="1:13" x14ac:dyDescent="0.35">
      <c r="A245" s="1">
        <v>45307</v>
      </c>
      <c r="B245" t="s">
        <v>27</v>
      </c>
      <c r="C245" t="s">
        <v>16</v>
      </c>
      <c r="D245" t="s">
        <v>17</v>
      </c>
      <c r="E245" t="s">
        <v>37</v>
      </c>
      <c r="F245">
        <v>64</v>
      </c>
      <c r="G245">
        <v>9</v>
      </c>
      <c r="H245">
        <v>576</v>
      </c>
      <c r="I245">
        <v>403.2</v>
      </c>
      <c r="J245">
        <v>172.8</v>
      </c>
      <c r="K245">
        <v>0.4285714285714286</v>
      </c>
      <c r="L245">
        <v>1</v>
      </c>
      <c r="M245" t="s">
        <v>64</v>
      </c>
    </row>
    <row r="246" spans="1:13" x14ac:dyDescent="0.35">
      <c r="A246" s="1">
        <v>45309</v>
      </c>
      <c r="B246" t="s">
        <v>27</v>
      </c>
      <c r="C246" t="s">
        <v>16</v>
      </c>
      <c r="D246" t="s">
        <v>17</v>
      </c>
      <c r="E246" t="s">
        <v>28</v>
      </c>
      <c r="F246">
        <v>36</v>
      </c>
      <c r="G246">
        <v>12</v>
      </c>
      <c r="H246">
        <v>432</v>
      </c>
      <c r="I246">
        <v>302.39999999999998</v>
      </c>
      <c r="J246">
        <v>129.6</v>
      </c>
      <c r="K246">
        <v>0.4285714285714286</v>
      </c>
      <c r="L246">
        <v>1</v>
      </c>
      <c r="M246" t="s">
        <v>64</v>
      </c>
    </row>
    <row r="247" spans="1:13" x14ac:dyDescent="0.35">
      <c r="A247" s="1">
        <v>45316</v>
      </c>
      <c r="B247" t="s">
        <v>15</v>
      </c>
      <c r="C247" t="s">
        <v>16</v>
      </c>
      <c r="D247" t="s">
        <v>17</v>
      </c>
      <c r="E247" t="s">
        <v>18</v>
      </c>
      <c r="F247">
        <v>34</v>
      </c>
      <c r="G247">
        <v>18</v>
      </c>
      <c r="H247">
        <v>612</v>
      </c>
      <c r="I247">
        <v>428.4</v>
      </c>
      <c r="J247">
        <v>183.6</v>
      </c>
      <c r="K247">
        <v>0.4285714285714286</v>
      </c>
      <c r="L247">
        <v>1</v>
      </c>
      <c r="M247" t="s">
        <v>64</v>
      </c>
    </row>
    <row r="248" spans="1:13" x14ac:dyDescent="0.35">
      <c r="A248" s="1">
        <v>45317</v>
      </c>
      <c r="B248" t="s">
        <v>27</v>
      </c>
      <c r="C248" t="s">
        <v>16</v>
      </c>
      <c r="D248" t="s">
        <v>17</v>
      </c>
      <c r="E248" t="s">
        <v>28</v>
      </c>
      <c r="F248">
        <v>38</v>
      </c>
      <c r="G248">
        <v>12</v>
      </c>
      <c r="H248">
        <v>456</v>
      </c>
      <c r="I248">
        <v>319.2</v>
      </c>
      <c r="J248">
        <v>136.80000000000001</v>
      </c>
      <c r="K248">
        <v>0.4285714285714286</v>
      </c>
      <c r="L248">
        <v>1</v>
      </c>
      <c r="M248" t="s">
        <v>64</v>
      </c>
    </row>
    <row r="249" spans="1:13" x14ac:dyDescent="0.35">
      <c r="A249" s="1">
        <v>45318</v>
      </c>
      <c r="B249" t="s">
        <v>15</v>
      </c>
      <c r="C249" t="s">
        <v>16</v>
      </c>
      <c r="D249" t="s">
        <v>17</v>
      </c>
      <c r="E249" t="s">
        <v>33</v>
      </c>
      <c r="F249">
        <v>58</v>
      </c>
      <c r="G249">
        <v>6</v>
      </c>
      <c r="H249">
        <v>348</v>
      </c>
      <c r="I249">
        <v>243.6</v>
      </c>
      <c r="J249">
        <v>104.4</v>
      </c>
      <c r="K249">
        <v>0.4285714285714286</v>
      </c>
      <c r="L249">
        <v>1</v>
      </c>
      <c r="M249" t="s">
        <v>64</v>
      </c>
    </row>
    <row r="250" spans="1:13" x14ac:dyDescent="0.35">
      <c r="A250" s="1">
        <v>45319</v>
      </c>
      <c r="B250" t="s">
        <v>27</v>
      </c>
      <c r="C250" t="s">
        <v>16</v>
      </c>
      <c r="D250" t="s">
        <v>17</v>
      </c>
      <c r="E250" t="s">
        <v>37</v>
      </c>
      <c r="F250">
        <v>68</v>
      </c>
      <c r="G250">
        <v>9</v>
      </c>
      <c r="H250">
        <v>612</v>
      </c>
      <c r="I250">
        <v>428.4</v>
      </c>
      <c r="J250">
        <v>183.6</v>
      </c>
      <c r="K250">
        <v>0.4285714285714286</v>
      </c>
      <c r="L250">
        <v>1</v>
      </c>
      <c r="M250" t="s">
        <v>64</v>
      </c>
    </row>
    <row r="251" spans="1:13" x14ac:dyDescent="0.35">
      <c r="A251" s="1">
        <v>45324</v>
      </c>
      <c r="B251" t="s">
        <v>15</v>
      </c>
      <c r="C251" t="s">
        <v>16</v>
      </c>
      <c r="D251" t="s">
        <v>17</v>
      </c>
      <c r="E251" t="s">
        <v>18</v>
      </c>
      <c r="F251">
        <v>38</v>
      </c>
      <c r="G251">
        <v>19</v>
      </c>
      <c r="H251">
        <v>722</v>
      </c>
      <c r="I251">
        <v>505.4</v>
      </c>
      <c r="J251">
        <v>216.6</v>
      </c>
      <c r="K251">
        <v>0.4285714285714286</v>
      </c>
      <c r="L251">
        <v>2</v>
      </c>
      <c r="M251" t="s">
        <v>65</v>
      </c>
    </row>
    <row r="252" spans="1:13" x14ac:dyDescent="0.35">
      <c r="A252" s="1">
        <v>45326</v>
      </c>
      <c r="B252" t="s">
        <v>15</v>
      </c>
      <c r="C252" t="s">
        <v>16</v>
      </c>
      <c r="D252" t="s">
        <v>17</v>
      </c>
      <c r="E252" t="s">
        <v>33</v>
      </c>
      <c r="F252">
        <v>62</v>
      </c>
      <c r="G252">
        <v>6</v>
      </c>
      <c r="H252">
        <v>372</v>
      </c>
      <c r="I252">
        <v>260.39999999999998</v>
      </c>
      <c r="J252">
        <v>111.6</v>
      </c>
      <c r="K252">
        <v>0.4285714285714286</v>
      </c>
      <c r="L252">
        <v>2</v>
      </c>
      <c r="M252" t="s">
        <v>65</v>
      </c>
    </row>
    <row r="253" spans="1:13" x14ac:dyDescent="0.35">
      <c r="A253" s="1">
        <v>45329</v>
      </c>
      <c r="B253" t="s">
        <v>27</v>
      </c>
      <c r="C253" t="s">
        <v>16</v>
      </c>
      <c r="D253" t="s">
        <v>17</v>
      </c>
      <c r="E253" t="s">
        <v>28</v>
      </c>
      <c r="F253">
        <v>42</v>
      </c>
      <c r="G253">
        <v>13</v>
      </c>
      <c r="H253">
        <v>546</v>
      </c>
      <c r="I253">
        <v>382.2</v>
      </c>
      <c r="J253">
        <v>163.80000000000001</v>
      </c>
      <c r="K253">
        <v>0.4285714285714286</v>
      </c>
      <c r="L253">
        <v>2</v>
      </c>
      <c r="M253" t="s">
        <v>65</v>
      </c>
    </row>
    <row r="254" spans="1:13" x14ac:dyDescent="0.35">
      <c r="A254" s="1">
        <v>45333</v>
      </c>
      <c r="B254" t="s">
        <v>27</v>
      </c>
      <c r="C254" t="s">
        <v>16</v>
      </c>
      <c r="D254" t="s">
        <v>17</v>
      </c>
      <c r="E254" t="s">
        <v>28</v>
      </c>
      <c r="F254">
        <v>43</v>
      </c>
      <c r="G254">
        <v>14</v>
      </c>
      <c r="H254">
        <v>602</v>
      </c>
      <c r="I254">
        <v>421.4</v>
      </c>
      <c r="J254">
        <v>180.6</v>
      </c>
      <c r="K254">
        <v>0.4285714285714286</v>
      </c>
      <c r="L254">
        <v>2</v>
      </c>
      <c r="M254" t="s">
        <v>65</v>
      </c>
    </row>
    <row r="255" spans="1:13" x14ac:dyDescent="0.35">
      <c r="A255" s="1">
        <v>45334</v>
      </c>
      <c r="B255" t="s">
        <v>15</v>
      </c>
      <c r="C255" t="s">
        <v>16</v>
      </c>
      <c r="D255" t="s">
        <v>17</v>
      </c>
      <c r="E255" t="s">
        <v>33</v>
      </c>
      <c r="F255">
        <v>66</v>
      </c>
      <c r="G255">
        <v>7</v>
      </c>
      <c r="H255">
        <v>462</v>
      </c>
      <c r="I255">
        <v>323.39999999999998</v>
      </c>
      <c r="J255">
        <v>138.6</v>
      </c>
      <c r="K255">
        <v>0.4285714285714286</v>
      </c>
      <c r="L255">
        <v>2</v>
      </c>
      <c r="M255" t="s">
        <v>65</v>
      </c>
    </row>
    <row r="256" spans="1:13" x14ac:dyDescent="0.35">
      <c r="A256" s="1">
        <v>45336</v>
      </c>
      <c r="B256" t="s">
        <v>15</v>
      </c>
      <c r="C256" t="s">
        <v>16</v>
      </c>
      <c r="D256" t="s">
        <v>17</v>
      </c>
      <c r="E256" t="s">
        <v>18</v>
      </c>
      <c r="F256">
        <v>44</v>
      </c>
      <c r="G256">
        <v>21</v>
      </c>
      <c r="H256">
        <v>924</v>
      </c>
      <c r="I256">
        <v>646.79999999999995</v>
      </c>
      <c r="J256">
        <v>277.2</v>
      </c>
      <c r="K256">
        <v>0.4285714285714286</v>
      </c>
      <c r="L256">
        <v>2</v>
      </c>
      <c r="M256" t="s">
        <v>65</v>
      </c>
    </row>
    <row r="257" spans="1:13" x14ac:dyDescent="0.35">
      <c r="A257" s="1">
        <v>45338</v>
      </c>
      <c r="B257" t="s">
        <v>15</v>
      </c>
      <c r="C257" t="s">
        <v>16</v>
      </c>
      <c r="D257" t="s">
        <v>17</v>
      </c>
      <c r="E257" t="s">
        <v>33</v>
      </c>
      <c r="F257">
        <v>68</v>
      </c>
      <c r="G257">
        <v>7</v>
      </c>
      <c r="H257">
        <v>476</v>
      </c>
      <c r="I257">
        <v>333.2</v>
      </c>
      <c r="J257">
        <v>142.80000000000001</v>
      </c>
      <c r="K257">
        <v>0.4285714285714286</v>
      </c>
      <c r="L257">
        <v>2</v>
      </c>
      <c r="M257" t="s">
        <v>65</v>
      </c>
    </row>
    <row r="258" spans="1:13" x14ac:dyDescent="0.35">
      <c r="A258" s="1">
        <v>45347</v>
      </c>
      <c r="B258" t="s">
        <v>27</v>
      </c>
      <c r="C258" t="s">
        <v>16</v>
      </c>
      <c r="D258" t="s">
        <v>17</v>
      </c>
      <c r="E258" t="s">
        <v>37</v>
      </c>
      <c r="F258">
        <v>82</v>
      </c>
      <c r="G258">
        <v>11</v>
      </c>
      <c r="H258">
        <v>902</v>
      </c>
      <c r="I258">
        <v>631.4</v>
      </c>
      <c r="J258">
        <v>270.60000000000002</v>
      </c>
      <c r="K258">
        <v>0.4285714285714286</v>
      </c>
      <c r="L258">
        <v>2</v>
      </c>
      <c r="M258" t="s">
        <v>65</v>
      </c>
    </row>
    <row r="259" spans="1:13" x14ac:dyDescent="0.35">
      <c r="A259" s="1">
        <v>45351</v>
      </c>
      <c r="B259" t="s">
        <v>27</v>
      </c>
      <c r="C259" t="s">
        <v>16</v>
      </c>
      <c r="D259" t="s">
        <v>17</v>
      </c>
      <c r="E259" t="s">
        <v>37</v>
      </c>
      <c r="F259">
        <v>84</v>
      </c>
      <c r="G259">
        <v>11</v>
      </c>
      <c r="H259">
        <v>924</v>
      </c>
      <c r="I259">
        <v>646.79999999999995</v>
      </c>
      <c r="J259">
        <v>277.2</v>
      </c>
      <c r="K259">
        <v>0.4285714285714286</v>
      </c>
      <c r="L259">
        <v>2</v>
      </c>
      <c r="M259" t="s">
        <v>65</v>
      </c>
    </row>
    <row r="260" spans="1:13" x14ac:dyDescent="0.35">
      <c r="A260" s="1">
        <v>45354</v>
      </c>
      <c r="B260" t="s">
        <v>15</v>
      </c>
      <c r="C260" t="s">
        <v>16</v>
      </c>
      <c r="D260" t="s">
        <v>17</v>
      </c>
      <c r="E260" t="s">
        <v>33</v>
      </c>
      <c r="F260">
        <v>76</v>
      </c>
      <c r="G260">
        <v>7</v>
      </c>
      <c r="H260">
        <v>532</v>
      </c>
      <c r="I260">
        <v>372.4</v>
      </c>
      <c r="J260">
        <v>159.6</v>
      </c>
      <c r="K260">
        <v>0.4285714285714286</v>
      </c>
      <c r="L260">
        <v>3</v>
      </c>
      <c r="M260" t="s">
        <v>66</v>
      </c>
    </row>
    <row r="261" spans="1:13" x14ac:dyDescent="0.35">
      <c r="A261" s="1">
        <v>45356</v>
      </c>
      <c r="B261" t="s">
        <v>15</v>
      </c>
      <c r="C261" t="s">
        <v>16</v>
      </c>
      <c r="D261" t="s">
        <v>17</v>
      </c>
      <c r="E261" t="s">
        <v>18</v>
      </c>
      <c r="F261">
        <v>54</v>
      </c>
      <c r="G261">
        <v>23</v>
      </c>
      <c r="H261">
        <v>1242</v>
      </c>
      <c r="I261">
        <v>869.4</v>
      </c>
      <c r="J261">
        <v>372.6</v>
      </c>
      <c r="K261">
        <v>0.4285714285714286</v>
      </c>
      <c r="L261">
        <v>3</v>
      </c>
      <c r="M261" t="s">
        <v>66</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EBDC-6D03-457C-AA96-4327994C959C}">
  <dimension ref="A1:I17"/>
  <sheetViews>
    <sheetView topLeftCell="B1" workbookViewId="0">
      <selection activeCell="F30" sqref="F30"/>
    </sheetView>
  </sheetViews>
  <sheetFormatPr defaultRowHeight="14.5" x14ac:dyDescent="0.35"/>
  <cols>
    <col min="1" max="1" width="15.1796875" bestFit="1" customWidth="1"/>
    <col min="2" max="2" width="17.7265625" bestFit="1" customWidth="1"/>
    <col min="3" max="3" width="14.54296875" bestFit="1" customWidth="1"/>
    <col min="4" max="4" width="14.81640625" bestFit="1" customWidth="1"/>
    <col min="5" max="6" width="15.36328125" bestFit="1" customWidth="1"/>
    <col min="7" max="7" width="18.7265625" bestFit="1" customWidth="1"/>
    <col min="8" max="8" width="18.6328125" bestFit="1" customWidth="1"/>
    <col min="9" max="9" width="10.54296875" bestFit="1" customWidth="1"/>
    <col min="10" max="10" width="14.81640625" bestFit="1" customWidth="1"/>
    <col min="11" max="11" width="15.36328125" bestFit="1" customWidth="1"/>
    <col min="12" max="12" width="18.7265625" bestFit="1" customWidth="1"/>
    <col min="13" max="13" width="18.6328125" bestFit="1" customWidth="1"/>
    <col min="14" max="14" width="18.36328125" bestFit="1" customWidth="1"/>
  </cols>
  <sheetData>
    <row r="1" spans="1:9" x14ac:dyDescent="0.35">
      <c r="A1" t="s">
        <v>4</v>
      </c>
      <c r="B1" t="s">
        <v>3</v>
      </c>
      <c r="C1" t="s">
        <v>45</v>
      </c>
      <c r="D1" t="s">
        <v>46</v>
      </c>
      <c r="E1" t="s">
        <v>47</v>
      </c>
      <c r="F1" t="s">
        <v>48</v>
      </c>
      <c r="G1" t="s">
        <v>69</v>
      </c>
      <c r="H1" t="s">
        <v>70</v>
      </c>
      <c r="I1" t="s">
        <v>67</v>
      </c>
    </row>
    <row r="2" spans="1:9" x14ac:dyDescent="0.35">
      <c r="A2" t="s">
        <v>33</v>
      </c>
      <c r="B2" t="s">
        <v>17</v>
      </c>
      <c r="C2">
        <v>80</v>
      </c>
      <c r="D2">
        <v>25</v>
      </c>
      <c r="E2" t="s">
        <v>51</v>
      </c>
      <c r="F2">
        <v>3</v>
      </c>
      <c r="G2">
        <v>6.8571428571428585</v>
      </c>
      <c r="H2">
        <v>1</v>
      </c>
    </row>
    <row r="3" spans="1:9" x14ac:dyDescent="0.35">
      <c r="A3" t="s">
        <v>39</v>
      </c>
      <c r="B3" t="s">
        <v>21</v>
      </c>
      <c r="C3">
        <v>50</v>
      </c>
      <c r="D3">
        <v>20</v>
      </c>
      <c r="E3" t="s">
        <v>49</v>
      </c>
      <c r="F3">
        <v>5</v>
      </c>
      <c r="G3">
        <v>7.2285714285714295</v>
      </c>
      <c r="H3">
        <v>1</v>
      </c>
    </row>
    <row r="4" spans="1:9" x14ac:dyDescent="0.35">
      <c r="A4" t="s">
        <v>30</v>
      </c>
      <c r="B4" t="s">
        <v>21</v>
      </c>
      <c r="C4">
        <v>14</v>
      </c>
      <c r="D4">
        <v>12</v>
      </c>
      <c r="E4" t="s">
        <v>51</v>
      </c>
      <c r="F4">
        <v>6</v>
      </c>
      <c r="G4">
        <v>6.8571428571428577</v>
      </c>
      <c r="H4">
        <v>0</v>
      </c>
    </row>
    <row r="5" spans="1:9" x14ac:dyDescent="0.35">
      <c r="A5" t="s">
        <v>26</v>
      </c>
      <c r="B5" t="s">
        <v>25</v>
      </c>
      <c r="C5">
        <v>5</v>
      </c>
      <c r="D5">
        <v>12</v>
      </c>
      <c r="E5" t="s">
        <v>50</v>
      </c>
      <c r="F5">
        <v>6</v>
      </c>
      <c r="G5">
        <v>6.8571428571428577</v>
      </c>
      <c r="H5">
        <v>-1</v>
      </c>
    </row>
    <row r="6" spans="1:9" x14ac:dyDescent="0.35">
      <c r="A6" t="s">
        <v>44</v>
      </c>
      <c r="B6" t="s">
        <v>13</v>
      </c>
      <c r="C6">
        <v>60</v>
      </c>
      <c r="D6">
        <v>25</v>
      </c>
      <c r="E6" t="s">
        <v>51</v>
      </c>
      <c r="F6">
        <v>6</v>
      </c>
      <c r="G6">
        <v>6.7777777777777786</v>
      </c>
      <c r="H6">
        <v>1</v>
      </c>
    </row>
    <row r="7" spans="1:9" x14ac:dyDescent="0.35">
      <c r="A7" t="s">
        <v>40</v>
      </c>
      <c r="B7" t="s">
        <v>25</v>
      </c>
      <c r="C7">
        <v>25</v>
      </c>
      <c r="D7">
        <v>15</v>
      </c>
      <c r="E7" t="s">
        <v>49</v>
      </c>
      <c r="F7">
        <v>4</v>
      </c>
      <c r="G7">
        <v>7.3956043956043969</v>
      </c>
      <c r="H7">
        <v>1</v>
      </c>
    </row>
    <row r="8" spans="1:9" x14ac:dyDescent="0.35">
      <c r="A8" t="s">
        <v>43</v>
      </c>
      <c r="B8" t="s">
        <v>13</v>
      </c>
      <c r="C8">
        <v>12</v>
      </c>
      <c r="D8">
        <v>15</v>
      </c>
      <c r="E8" t="s">
        <v>50</v>
      </c>
      <c r="F8">
        <v>7</v>
      </c>
      <c r="G8">
        <v>6.7609195402298861</v>
      </c>
      <c r="H8">
        <v>-1</v>
      </c>
    </row>
    <row r="9" spans="1:9" x14ac:dyDescent="0.35">
      <c r="A9" t="s">
        <v>28</v>
      </c>
      <c r="B9" t="s">
        <v>17</v>
      </c>
      <c r="C9">
        <v>60</v>
      </c>
      <c r="D9">
        <v>25</v>
      </c>
      <c r="E9" t="s">
        <v>50</v>
      </c>
      <c r="F9">
        <v>4</v>
      </c>
      <c r="G9">
        <v>6.8571428571428585</v>
      </c>
      <c r="H9">
        <v>1</v>
      </c>
    </row>
    <row r="10" spans="1:9" x14ac:dyDescent="0.35">
      <c r="A10" t="s">
        <v>14</v>
      </c>
      <c r="B10" t="s">
        <v>13</v>
      </c>
      <c r="C10">
        <v>45</v>
      </c>
      <c r="D10">
        <v>20</v>
      </c>
      <c r="E10" t="s">
        <v>49</v>
      </c>
      <c r="F10">
        <v>5</v>
      </c>
      <c r="G10">
        <v>7.2857142857142865</v>
      </c>
      <c r="H10">
        <v>1</v>
      </c>
    </row>
    <row r="11" spans="1:9" x14ac:dyDescent="0.35">
      <c r="A11" t="s">
        <v>18</v>
      </c>
      <c r="B11" t="s">
        <v>17</v>
      </c>
      <c r="C11">
        <v>100</v>
      </c>
      <c r="D11">
        <v>30</v>
      </c>
      <c r="E11" t="s">
        <v>49</v>
      </c>
      <c r="F11">
        <v>3</v>
      </c>
      <c r="G11">
        <v>7.2857142857142874</v>
      </c>
      <c r="H11">
        <v>1</v>
      </c>
    </row>
    <row r="12" spans="1:9" x14ac:dyDescent="0.35">
      <c r="A12" t="s">
        <v>35</v>
      </c>
      <c r="B12" t="s">
        <v>21</v>
      </c>
      <c r="C12">
        <v>35</v>
      </c>
      <c r="D12">
        <v>18</v>
      </c>
      <c r="E12" t="s">
        <v>52</v>
      </c>
      <c r="F12">
        <v>7</v>
      </c>
      <c r="G12">
        <v>6.8571428571428577</v>
      </c>
      <c r="H12">
        <v>1</v>
      </c>
    </row>
    <row r="13" spans="1:9" x14ac:dyDescent="0.35">
      <c r="A13" t="s">
        <v>36</v>
      </c>
      <c r="B13" t="s">
        <v>25</v>
      </c>
      <c r="C13">
        <v>40</v>
      </c>
      <c r="D13">
        <v>20</v>
      </c>
      <c r="E13" t="s">
        <v>51</v>
      </c>
      <c r="F13">
        <v>5</v>
      </c>
      <c r="G13">
        <v>6.8571428571428577</v>
      </c>
      <c r="H13">
        <v>1</v>
      </c>
    </row>
    <row r="14" spans="1:9" x14ac:dyDescent="0.35">
      <c r="A14" t="s">
        <v>32</v>
      </c>
      <c r="B14" t="s">
        <v>25</v>
      </c>
      <c r="C14">
        <v>10</v>
      </c>
      <c r="D14">
        <v>15</v>
      </c>
      <c r="E14" t="s">
        <v>52</v>
      </c>
      <c r="F14">
        <v>4</v>
      </c>
      <c r="G14">
        <v>6.8571428571428577</v>
      </c>
      <c r="H14">
        <v>-1</v>
      </c>
    </row>
    <row r="15" spans="1:9" x14ac:dyDescent="0.35">
      <c r="A15" t="s">
        <v>22</v>
      </c>
      <c r="B15" t="s">
        <v>21</v>
      </c>
      <c r="C15">
        <v>8</v>
      </c>
      <c r="D15">
        <v>10</v>
      </c>
      <c r="E15" t="s">
        <v>50</v>
      </c>
      <c r="F15">
        <v>8</v>
      </c>
      <c r="G15">
        <v>6.8571428571428577</v>
      </c>
      <c r="H15">
        <v>-1</v>
      </c>
    </row>
    <row r="16" spans="1:9" x14ac:dyDescent="0.35">
      <c r="A16" t="s">
        <v>37</v>
      </c>
      <c r="B16" t="s">
        <v>17</v>
      </c>
      <c r="C16">
        <v>90</v>
      </c>
      <c r="D16">
        <v>30</v>
      </c>
      <c r="E16" t="s">
        <v>52</v>
      </c>
      <c r="F16">
        <v>4</v>
      </c>
      <c r="G16">
        <v>6.8571428571428585</v>
      </c>
      <c r="H16">
        <v>1</v>
      </c>
    </row>
    <row r="17" spans="1:8" x14ac:dyDescent="0.35">
      <c r="A17" t="s">
        <v>41</v>
      </c>
      <c r="B17" t="s">
        <v>13</v>
      </c>
      <c r="C17">
        <v>18</v>
      </c>
      <c r="D17">
        <v>12</v>
      </c>
      <c r="E17" t="s">
        <v>52</v>
      </c>
      <c r="F17">
        <v>4</v>
      </c>
      <c r="G17">
        <v>6.8174603174603181</v>
      </c>
      <c r="H17">
        <v>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D3399-14BC-407D-9445-EB2DAD8E8699}">
  <dimension ref="E2:R19"/>
  <sheetViews>
    <sheetView showGridLines="0" showRowColHeaders="0" tabSelected="1" zoomScale="70" zoomScaleNormal="70" workbookViewId="0">
      <selection activeCell="V15" sqref="V15"/>
    </sheetView>
  </sheetViews>
  <sheetFormatPr defaultRowHeight="14.5" x14ac:dyDescent="0.35"/>
  <cols>
    <col min="6" max="6" width="10.1796875" bestFit="1" customWidth="1"/>
    <col min="8" max="8" width="11.26953125" bestFit="1" customWidth="1"/>
    <col min="11" max="11" width="15.1796875" bestFit="1" customWidth="1"/>
    <col min="12" max="12" width="11" bestFit="1" customWidth="1"/>
    <col min="13" max="13" width="15.81640625" bestFit="1" customWidth="1"/>
    <col min="14" max="14" width="14.453125" customWidth="1"/>
    <col min="15" max="15" width="16.1796875" bestFit="1" customWidth="1"/>
    <col min="16" max="16" width="12.7265625" bestFit="1" customWidth="1"/>
    <col min="17" max="17" width="12.6328125" bestFit="1" customWidth="1"/>
    <col min="18" max="18" width="16.7265625" hidden="1" customWidth="1"/>
    <col min="19" max="19" width="16.7265625" bestFit="1" customWidth="1"/>
    <col min="20" max="20" width="18.90625" bestFit="1" customWidth="1"/>
  </cols>
  <sheetData>
    <row r="2" spans="5:18" x14ac:dyDescent="0.35">
      <c r="E2" s="19"/>
      <c r="F2" s="19"/>
      <c r="G2" s="19"/>
      <c r="H2" s="19"/>
      <c r="I2" s="19"/>
      <c r="J2" s="19"/>
      <c r="K2" s="19"/>
      <c r="L2" s="19"/>
      <c r="M2" s="19"/>
      <c r="N2" s="19"/>
      <c r="O2" s="19"/>
      <c r="P2" s="19"/>
      <c r="Q2" s="19"/>
    </row>
    <row r="3" spans="5:18" x14ac:dyDescent="0.35">
      <c r="M3" t="s">
        <v>4</v>
      </c>
      <c r="N3" t="s">
        <v>70</v>
      </c>
      <c r="O3" t="s">
        <v>47</v>
      </c>
      <c r="P3" t="s">
        <v>72</v>
      </c>
      <c r="Q3" t="s">
        <v>71</v>
      </c>
      <c r="R3" t="s">
        <v>57</v>
      </c>
    </row>
    <row r="4" spans="5:18" x14ac:dyDescent="0.35">
      <c r="M4" t="s">
        <v>33</v>
      </c>
      <c r="N4">
        <v>1</v>
      </c>
      <c r="O4" t="s">
        <v>51</v>
      </c>
      <c r="P4">
        <v>80</v>
      </c>
      <c r="Q4">
        <v>25</v>
      </c>
      <c r="R4" s="12">
        <v>1122048</v>
      </c>
    </row>
    <row r="5" spans="5:18" x14ac:dyDescent="0.35">
      <c r="M5" t="s">
        <v>39</v>
      </c>
      <c r="N5">
        <v>1</v>
      </c>
      <c r="O5" t="s">
        <v>49</v>
      </c>
      <c r="P5">
        <v>50</v>
      </c>
      <c r="Q5">
        <v>20</v>
      </c>
      <c r="R5" s="15">
        <f>GETPIVOTDATA("[Measures].[Sum of Sales Amount]",$R$3)</f>
        <v>1122048</v>
      </c>
    </row>
    <row r="6" spans="5:18" x14ac:dyDescent="0.35">
      <c r="M6" t="s">
        <v>30</v>
      </c>
      <c r="N6">
        <v>0</v>
      </c>
      <c r="O6" t="s">
        <v>51</v>
      </c>
      <c r="P6">
        <v>14</v>
      </c>
      <c r="Q6">
        <v>12</v>
      </c>
    </row>
    <row r="7" spans="5:18" x14ac:dyDescent="0.35">
      <c r="M7" t="s">
        <v>26</v>
      </c>
      <c r="N7">
        <v>-1</v>
      </c>
      <c r="O7" t="s">
        <v>50</v>
      </c>
      <c r="P7">
        <v>5</v>
      </c>
      <c r="Q7">
        <v>12</v>
      </c>
      <c r="R7" t="s">
        <v>59</v>
      </c>
    </row>
    <row r="8" spans="5:18" x14ac:dyDescent="0.35">
      <c r="F8" s="12"/>
      <c r="H8" s="14"/>
      <c r="M8" t="s">
        <v>44</v>
      </c>
      <c r="N8">
        <v>1</v>
      </c>
      <c r="O8" t="s">
        <v>51</v>
      </c>
      <c r="P8">
        <v>60</v>
      </c>
      <c r="Q8">
        <v>25</v>
      </c>
      <c r="R8" s="7">
        <v>335903.4</v>
      </c>
    </row>
    <row r="9" spans="5:18" x14ac:dyDescent="0.35">
      <c r="M9" t="s">
        <v>40</v>
      </c>
      <c r="N9">
        <v>1</v>
      </c>
      <c r="O9" t="s">
        <v>49</v>
      </c>
      <c r="P9">
        <v>25</v>
      </c>
      <c r="Q9">
        <v>15</v>
      </c>
      <c r="R9" s="16">
        <f>GETPIVOTDATA("[Measures].[Total  Profit]",$R$7)</f>
        <v>335903.4</v>
      </c>
    </row>
    <row r="10" spans="5:18" x14ac:dyDescent="0.35">
      <c r="M10" t="s">
        <v>43</v>
      </c>
      <c r="N10">
        <v>-1</v>
      </c>
      <c r="O10" t="s">
        <v>50</v>
      </c>
      <c r="P10">
        <v>12</v>
      </c>
      <c r="Q10">
        <v>15</v>
      </c>
      <c r="R10" t="s">
        <v>60</v>
      </c>
    </row>
    <row r="11" spans="5:18" x14ac:dyDescent="0.35">
      <c r="M11" t="s">
        <v>28</v>
      </c>
      <c r="N11">
        <v>1</v>
      </c>
      <c r="O11" t="s">
        <v>50</v>
      </c>
      <c r="P11">
        <v>60</v>
      </c>
      <c r="Q11">
        <v>25</v>
      </c>
      <c r="R11" s="8">
        <v>7102</v>
      </c>
    </row>
    <row r="12" spans="5:18" x14ac:dyDescent="0.35">
      <c r="M12" t="s">
        <v>14</v>
      </c>
      <c r="N12">
        <v>1</v>
      </c>
      <c r="O12" t="s">
        <v>49</v>
      </c>
      <c r="P12">
        <v>45</v>
      </c>
      <c r="Q12">
        <v>20</v>
      </c>
      <c r="R12" s="18">
        <f>GETPIVOTDATA("[Measures].[Total Units]",$R$10)</f>
        <v>7102</v>
      </c>
    </row>
    <row r="13" spans="5:18" x14ac:dyDescent="0.35">
      <c r="M13" t="s">
        <v>18</v>
      </c>
      <c r="N13">
        <v>1</v>
      </c>
      <c r="O13" t="s">
        <v>49</v>
      </c>
      <c r="P13">
        <v>100</v>
      </c>
      <c r="Q13">
        <v>30</v>
      </c>
      <c r="R13" s="11" t="s">
        <v>61</v>
      </c>
    </row>
    <row r="14" spans="5:18" x14ac:dyDescent="0.35">
      <c r="M14" t="s">
        <v>35</v>
      </c>
      <c r="N14">
        <v>1</v>
      </c>
      <c r="O14" t="s">
        <v>52</v>
      </c>
      <c r="P14">
        <v>35</v>
      </c>
      <c r="Q14">
        <v>18</v>
      </c>
      <c r="R14">
        <v>4</v>
      </c>
    </row>
    <row r="15" spans="5:18" x14ac:dyDescent="0.35">
      <c r="M15" t="s">
        <v>36</v>
      </c>
      <c r="N15">
        <v>1</v>
      </c>
      <c r="O15" t="s">
        <v>51</v>
      </c>
      <c r="P15">
        <v>40</v>
      </c>
      <c r="Q15">
        <v>20</v>
      </c>
      <c r="R15">
        <f>GETPIVOTDATA("[Measures].[Low Stock Items]",$R$13)</f>
        <v>4</v>
      </c>
    </row>
    <row r="16" spans="5:18" x14ac:dyDescent="0.35">
      <c r="M16" t="s">
        <v>32</v>
      </c>
      <c r="N16">
        <v>-1</v>
      </c>
      <c r="O16" t="s">
        <v>52</v>
      </c>
      <c r="P16">
        <v>10</v>
      </c>
      <c r="Q16">
        <v>15</v>
      </c>
      <c r="R16" t="s">
        <v>68</v>
      </c>
    </row>
    <row r="17" spans="13:18" x14ac:dyDescent="0.35">
      <c r="M17" t="s">
        <v>22</v>
      </c>
      <c r="N17">
        <v>-1</v>
      </c>
      <c r="O17" t="s">
        <v>50</v>
      </c>
      <c r="P17">
        <v>8</v>
      </c>
      <c r="Q17">
        <v>10</v>
      </c>
      <c r="R17" s="11">
        <v>0.29936633726899387</v>
      </c>
    </row>
    <row r="18" spans="13:18" x14ac:dyDescent="0.35">
      <c r="M18" t="s">
        <v>37</v>
      </c>
      <c r="N18">
        <v>1</v>
      </c>
      <c r="O18" t="s">
        <v>52</v>
      </c>
      <c r="P18">
        <v>90</v>
      </c>
      <c r="Q18">
        <v>30</v>
      </c>
      <c r="R18" s="17">
        <f>GETPIVOTDATA("[Measures].[Total Profit Margin]",$R$16)</f>
        <v>0.29936633726899387</v>
      </c>
    </row>
    <row r="19" spans="13:18" x14ac:dyDescent="0.35">
      <c r="M19" t="s">
        <v>41</v>
      </c>
      <c r="N19">
        <v>1</v>
      </c>
      <c r="O19" t="s">
        <v>52</v>
      </c>
      <c r="P19">
        <v>18</v>
      </c>
      <c r="Q19">
        <v>12</v>
      </c>
    </row>
  </sheetData>
  <conditionalFormatting sqref="N4:N19">
    <cfRule type="iconSet" priority="6">
      <iconSet iconSet="3Symbols2" showValue="0">
        <cfvo type="percent" val="0"/>
        <cfvo type="percent" val="33"/>
        <cfvo type="percent" val="67"/>
      </iconSet>
    </cfRule>
  </conditionalFormatting>
  <conditionalFormatting pivot="1" sqref="P4:P19">
    <cfRule type="dataBar" priority="2">
      <dataBar>
        <cfvo type="min"/>
        <cfvo type="max"/>
        <color rgb="FF008AEF"/>
      </dataBar>
      <extLst>
        <ext xmlns:x14="http://schemas.microsoft.com/office/spreadsheetml/2009/9/main" uri="{B025F937-C7B1-47D3-B67F-A62EFF666E3E}">
          <x14:id>{55C22A93-AD02-4E91-B9DC-2E1F7E6FEE75}</x14:id>
        </ext>
      </extLst>
    </cfRule>
  </conditionalFormatting>
  <conditionalFormatting pivot="1" sqref="P4:P19">
    <cfRule type="expression" dxfId="33" priority="8">
      <formula>$P4&lt;$Q4</formula>
    </cfRule>
  </conditionalFormatting>
  <conditionalFormatting sqref="R18">
    <cfRule type="iconSet" priority="1">
      <iconSet>
        <cfvo type="percent" val="0"/>
        <cfvo type="num" val="0.15"/>
        <cfvo type="num" val="0.25"/>
      </iconSet>
    </cfRule>
  </conditionalFormatting>
  <pageMargins left="0.7" right="0.7" top="0.75" bottom="0.75" header="0.3" footer="0.3"/>
  <pageSetup orientation="portrait" r:id="rId7"/>
  <drawing r:id="rId8"/>
  <extLst>
    <ext xmlns:x14="http://schemas.microsoft.com/office/spreadsheetml/2009/9/main" uri="{78C0D931-6437-407d-A8EE-F0AAD7539E65}">
      <x14:conditionalFormattings>
        <x14:conditionalFormatting xmlns:xm="http://schemas.microsoft.com/office/excel/2006/main" pivot="1">
          <x14:cfRule type="dataBar" id="{55C22A93-AD02-4E91-B9DC-2E1F7E6FEE75}">
            <x14:dataBar minLength="0" maxLength="100" border="1" negativeBarBorderColorSameAsPositive="0">
              <x14:cfvo type="autoMin"/>
              <x14:cfvo type="autoMax"/>
              <x14:borderColor rgb="FF008AEF"/>
              <x14:negativeFillColor rgb="FFFF0000"/>
              <x14:negativeBorderColor rgb="FFFF0000"/>
              <x14:axisColor rgb="FF000000"/>
            </x14:dataBar>
          </x14:cfRule>
          <xm:sqref>P4:P19</xm:sqref>
        </x14:conditionalFormatting>
      </x14:conditionalFormattings>
    </ex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12C34F33-14C0-4D6D-854D-2435D0BFB5A9}">
  <ds:schemaRefs/>
</ds:datastoreItem>
</file>

<file path=customXml/itemProps2.xml><?xml version="1.0" encoding="utf-8"?>
<ds:datastoreItem xmlns:ds="http://schemas.openxmlformats.org/officeDocument/2006/customXml" ds:itemID="{3121C350-C73E-4757-9FB2-28A875B79922}">
  <ds:schemaRefs>
    <ds:schemaRef ds:uri="http://schemas.microsoft.com/DataMashup"/>
  </ds:schemaRefs>
</ds:datastoreItem>
</file>

<file path=customXml/itemProps3.xml><?xml version="1.0" encoding="utf-8"?>
<ds:datastoreItem xmlns:ds="http://schemas.openxmlformats.org/officeDocument/2006/customXml" ds:itemID="{619E8E02-099A-420A-A4D6-A6AB7BE7F89A}">
  <ds:schemaRefs/>
</ds:datastoreItem>
</file>

<file path=customXml/itemProps4.xml><?xml version="1.0" encoding="utf-8"?>
<ds:datastoreItem xmlns:ds="http://schemas.openxmlformats.org/officeDocument/2006/customXml" ds:itemID="{5DB74B4E-81B4-4A5A-B705-8DCDE78ABB9E}">
  <ds:schemaRefs/>
</ds:datastoreItem>
</file>

<file path=customXml/itemProps5.xml><?xml version="1.0" encoding="utf-8"?>
<ds:datastoreItem xmlns:ds="http://schemas.openxmlformats.org/officeDocument/2006/customXml" ds:itemID="{A08122BF-A585-40A3-B835-65A6B6292C95}">
  <ds:schemaRefs/>
</ds:datastoreItem>
</file>

<file path=customXml/itemProps6.xml><?xml version="1.0" encoding="utf-8"?>
<ds:datastoreItem xmlns:ds="http://schemas.openxmlformats.org/officeDocument/2006/customXml" ds:itemID="{1D46D3D3-77C9-46EA-B397-BDBDF7152B37}">
  <ds:schemaRefs/>
</ds:datastoreItem>
</file>

<file path=customXml/itemProps7.xml><?xml version="1.0" encoding="utf-8"?>
<ds:datastoreItem xmlns:ds="http://schemas.openxmlformats.org/officeDocument/2006/customXml" ds:itemID="{EDCE4C0D-A04E-4313-BE3F-FED09E6D9BFB}">
  <ds:schemaRefs/>
</ds:datastoreItem>
</file>

<file path=customXml/itemProps8.xml><?xml version="1.0" encoding="utf-8"?>
<ds:datastoreItem xmlns:ds="http://schemas.openxmlformats.org/officeDocument/2006/customXml" ds:itemID="{2884CECD-06E1-4E29-ABC0-69A14344216C}">
  <ds:schemaRefs/>
</ds:datastoreItem>
</file>

<file path=customXml/itemProps9.xml><?xml version="1.0" encoding="utf-8"?>
<ds:datastoreItem xmlns:ds="http://schemas.openxmlformats.org/officeDocument/2006/customXml" ds:itemID="{598328F9-7EDE-4ACB-BEF8-393BA30FD119}">
  <ds:schemaRefs/>
</ds:datastoreItem>
</file>

<file path=customXml/itemProps10.xml><?xml version="1.0" encoding="utf-8"?>
<ds:datastoreItem xmlns:ds="http://schemas.openxmlformats.org/officeDocument/2006/customXml" ds:itemID="{03E8D044-2353-4873-B17B-EAE8294E0B3E}">
  <ds:schemaRefs/>
</ds:datastoreItem>
</file>

<file path=customXml/itemProps11.xml><?xml version="1.0" encoding="utf-8"?>
<ds:datastoreItem xmlns:ds="http://schemas.openxmlformats.org/officeDocument/2006/customXml" ds:itemID="{930CB837-EA14-4DAD-A610-54D07F08283B}">
  <ds:schemaRefs/>
</ds:datastoreItem>
</file>

<file path=customXml/itemProps12.xml><?xml version="1.0" encoding="utf-8"?>
<ds:datastoreItem xmlns:ds="http://schemas.openxmlformats.org/officeDocument/2006/customXml" ds:itemID="{FADFF359-B4F4-4EAA-9322-1E651F810911}">
  <ds:schemaRefs/>
</ds:datastoreItem>
</file>

<file path=customXml/itemProps13.xml><?xml version="1.0" encoding="utf-8"?>
<ds:datastoreItem xmlns:ds="http://schemas.openxmlformats.org/officeDocument/2006/customXml" ds:itemID="{C9F395E2-23D2-4525-9767-7627DC907D35}">
  <ds:schemaRefs/>
</ds:datastoreItem>
</file>

<file path=customXml/itemProps14.xml><?xml version="1.0" encoding="utf-8"?>
<ds:datastoreItem xmlns:ds="http://schemas.openxmlformats.org/officeDocument/2006/customXml" ds:itemID="{EC6751BE-AE21-44F7-B32F-1362D1B097E7}">
  <ds:schemaRefs/>
</ds:datastoreItem>
</file>

<file path=customXml/itemProps15.xml><?xml version="1.0" encoding="utf-8"?>
<ds:datastoreItem xmlns:ds="http://schemas.openxmlformats.org/officeDocument/2006/customXml" ds:itemID="{F0C792F4-A2D2-4008-AB2A-E1495435CF14}">
  <ds:schemaRefs/>
</ds:datastoreItem>
</file>

<file path=customXml/itemProps16.xml><?xml version="1.0" encoding="utf-8"?>
<ds:datastoreItem xmlns:ds="http://schemas.openxmlformats.org/officeDocument/2006/customXml" ds:itemID="{A045CDE1-78B8-4048-A7DB-0C8E9252A7DB}">
  <ds:schemaRefs/>
</ds:datastoreItem>
</file>

<file path=customXml/itemProps17.xml><?xml version="1.0" encoding="utf-8"?>
<ds:datastoreItem xmlns:ds="http://schemas.openxmlformats.org/officeDocument/2006/customXml" ds:itemID="{6C94B265-8497-4DB0-9517-44A1ADEAE379}">
  <ds:schemaRefs/>
</ds:datastoreItem>
</file>

<file path=customXml/itemProps18.xml><?xml version="1.0" encoding="utf-8"?>
<ds:datastoreItem xmlns:ds="http://schemas.openxmlformats.org/officeDocument/2006/customXml" ds:itemID="{0C791E10-8334-439D-B7D9-531E46764578}">
  <ds:schemaRefs/>
</ds:datastoreItem>
</file>

<file path=customXml/itemProps19.xml><?xml version="1.0" encoding="utf-8"?>
<ds:datastoreItem xmlns:ds="http://schemas.openxmlformats.org/officeDocument/2006/customXml" ds:itemID="{EA946E0B-0E1B-4903-8A2F-9FEDAEAB54CF}">
  <ds:schemaRefs/>
</ds:datastoreItem>
</file>

<file path=customXml/itemProps20.xml><?xml version="1.0" encoding="utf-8"?>
<ds:datastoreItem xmlns:ds="http://schemas.openxmlformats.org/officeDocument/2006/customXml" ds:itemID="{F3685269-F4DE-49F5-9842-BFED554CFF7E}">
  <ds:schemaRefs/>
</ds:datastoreItem>
</file>

<file path=customXml/itemProps21.xml><?xml version="1.0" encoding="utf-8"?>
<ds:datastoreItem xmlns:ds="http://schemas.openxmlformats.org/officeDocument/2006/customXml" ds:itemID="{370D9FBD-C985-4E2F-8BAE-08DF84660674}">
  <ds:schemaRefs/>
</ds:datastoreItem>
</file>

<file path=customXml/itemProps22.xml><?xml version="1.0" encoding="utf-8"?>
<ds:datastoreItem xmlns:ds="http://schemas.openxmlformats.org/officeDocument/2006/customXml" ds:itemID="{3F07C011-4653-470F-91EC-7640DF00E083}">
  <ds:schemaRefs/>
</ds:datastoreItem>
</file>

<file path=customXml/itemProps23.xml><?xml version="1.0" encoding="utf-8"?>
<ds:datastoreItem xmlns:ds="http://schemas.openxmlformats.org/officeDocument/2006/customXml" ds:itemID="{D8A0335F-9D61-4A97-87DE-299F29DBA828}">
  <ds:schemaRefs/>
</ds:datastoreItem>
</file>

<file path=customXml/itemProps24.xml><?xml version="1.0" encoding="utf-8"?>
<ds:datastoreItem xmlns:ds="http://schemas.openxmlformats.org/officeDocument/2006/customXml" ds:itemID="{485C0316-21DB-4ADF-A0A9-732710ED0074}">
  <ds:schemaRefs/>
</ds:datastoreItem>
</file>

<file path=customXml/itemProps25.xml><?xml version="1.0" encoding="utf-8"?>
<ds:datastoreItem xmlns:ds="http://schemas.openxmlformats.org/officeDocument/2006/customXml" ds:itemID="{6F9575C5-A5F3-4567-B9D7-9E51F3392CE7}">
  <ds:schemaRefs/>
</ds:datastoreItem>
</file>

<file path=customXml/itemProps26.xml><?xml version="1.0" encoding="utf-8"?>
<ds:datastoreItem xmlns:ds="http://schemas.openxmlformats.org/officeDocument/2006/customXml" ds:itemID="{F465711F-70FF-42E7-9AD2-1384DBEF2FE2}">
  <ds:schemaRefs/>
</ds:datastoreItem>
</file>

<file path=customXml/itemProps27.xml><?xml version="1.0" encoding="utf-8"?>
<ds:datastoreItem xmlns:ds="http://schemas.openxmlformats.org/officeDocument/2006/customXml" ds:itemID="{B6FF9B4C-D2F3-4E02-B88D-78BEEE640D96}">
  <ds:schemaRefs/>
</ds:datastoreItem>
</file>

<file path=customXml/itemProps28.xml><?xml version="1.0" encoding="utf-8"?>
<ds:datastoreItem xmlns:ds="http://schemas.openxmlformats.org/officeDocument/2006/customXml" ds:itemID="{F42C0732-D81C-4E74-A4D9-DC1F799F5959}">
  <ds:schemaRefs/>
</ds:datastoreItem>
</file>

<file path=customXml/itemProps29.xml><?xml version="1.0" encoding="utf-8"?>
<ds:datastoreItem xmlns:ds="http://schemas.openxmlformats.org/officeDocument/2006/customXml" ds:itemID="{2E64F6EC-6945-461A-A351-873EC6B72148}">
  <ds:schemaRefs/>
</ds:datastoreItem>
</file>

<file path=customXml/itemProps30.xml><?xml version="1.0" encoding="utf-8"?>
<ds:datastoreItem xmlns:ds="http://schemas.openxmlformats.org/officeDocument/2006/customXml" ds:itemID="{CD4880F4-3713-4447-B286-E2635778228C}">
  <ds:schemaRefs/>
</ds:datastoreItem>
</file>

<file path=customXml/itemProps31.xml><?xml version="1.0" encoding="utf-8"?>
<ds:datastoreItem xmlns:ds="http://schemas.openxmlformats.org/officeDocument/2006/customXml" ds:itemID="{13FE6E48-E6DD-46E7-A9F8-F564987C8860}">
  <ds:schemaRefs/>
</ds:datastoreItem>
</file>

<file path=customXml/itemProps32.xml><?xml version="1.0" encoding="utf-8"?>
<ds:datastoreItem xmlns:ds="http://schemas.openxmlformats.org/officeDocument/2006/customXml" ds:itemID="{42804D00-CDC5-4E4A-950E-15E7718C26FA}">
  <ds:schemaRefs/>
</ds:datastoreItem>
</file>

<file path=customXml/itemProps33.xml><?xml version="1.0" encoding="utf-8"?>
<ds:datastoreItem xmlns:ds="http://schemas.openxmlformats.org/officeDocument/2006/customXml" ds:itemID="{E0D11A95-0A38-4A71-888A-03A031336C81}">
  <ds:schemaRefs/>
</ds:datastoreItem>
</file>

<file path=customXml/itemProps34.xml><?xml version="1.0" encoding="utf-8"?>
<ds:datastoreItem xmlns:ds="http://schemas.openxmlformats.org/officeDocument/2006/customXml" ds:itemID="{73B5305C-827A-4CF2-869C-B36FA7E28DC0}">
  <ds:schemaRefs/>
</ds:datastoreItem>
</file>

<file path=customXml/itemProps35.xml><?xml version="1.0" encoding="utf-8"?>
<ds:datastoreItem xmlns:ds="http://schemas.openxmlformats.org/officeDocument/2006/customXml" ds:itemID="{7661B272-37AF-4FC1-A296-C695C36FA1C3}">
  <ds:schemaRefs/>
</ds:datastoreItem>
</file>

<file path=customXml/itemProps36.xml><?xml version="1.0" encoding="utf-8"?>
<ds:datastoreItem xmlns:ds="http://schemas.openxmlformats.org/officeDocument/2006/customXml" ds:itemID="{D9BD8629-C5A0-4E03-9E3E-96DAA881918C}">
  <ds:schemaRefs/>
</ds:datastoreItem>
</file>

<file path=customXml/itemProps37.xml><?xml version="1.0" encoding="utf-8"?>
<ds:datastoreItem xmlns:ds="http://schemas.openxmlformats.org/officeDocument/2006/customXml" ds:itemID="{352FB4EB-9507-4831-86A7-EE6302F02C7E}">
  <ds:schemaRefs/>
</ds:datastoreItem>
</file>

<file path=customXml/itemProps38.xml><?xml version="1.0" encoding="utf-8"?>
<ds:datastoreItem xmlns:ds="http://schemas.openxmlformats.org/officeDocument/2006/customXml" ds:itemID="{B03F58FA-DA2B-4C4F-B08C-D229DE8BD16E}">
  <ds:schemaRefs/>
</ds:datastoreItem>
</file>

<file path=customXml/itemProps39.xml><?xml version="1.0" encoding="utf-8"?>
<ds:datastoreItem xmlns:ds="http://schemas.openxmlformats.org/officeDocument/2006/customXml" ds:itemID="{E4C56FD9-A53E-4D25-A6F4-7EDD8D2AFC13}">
  <ds:schemaRefs/>
</ds:datastoreItem>
</file>

<file path=customXml/itemProps40.xml><?xml version="1.0" encoding="utf-8"?>
<ds:datastoreItem xmlns:ds="http://schemas.openxmlformats.org/officeDocument/2006/customXml" ds:itemID="{C785C577-8A22-44D8-8A10-9DE49C4DAB57}">
  <ds:schemaRefs/>
</ds:datastoreItem>
</file>

<file path=customXml/itemProps41.xml><?xml version="1.0" encoding="utf-8"?>
<ds:datastoreItem xmlns:ds="http://schemas.openxmlformats.org/officeDocument/2006/customXml" ds:itemID="{F9201E2D-02C3-496D-91CE-26AF63843D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Sales Data</vt:lpstr>
      <vt:lpstr>Inventory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pournimamore87@gmail.com</cp:lastModifiedBy>
  <dcterms:created xsi:type="dcterms:W3CDTF">2025-08-17T09:11:04Z</dcterms:created>
  <dcterms:modified xsi:type="dcterms:W3CDTF">2025-08-18T10:02:15Z</dcterms:modified>
</cp:coreProperties>
</file>